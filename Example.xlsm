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277BFCA8-0A1C-E630-347C-98D23832170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13_ncr:1_{F9F4AB87-B8A1-4858-8EF4-0879406F191E}" xr6:coauthVersionLast="34" xr6:coauthVersionMax="34" xr10:uidLastSave="{00000000-0000-0000-0000-000000000000}"/>
  <bookViews>
    <workbookView xWindow="0" yWindow="0" windowWidth="19200" windowHeight="7320" xr2:uid="{76FB606E-B3FC-4DBE-A184-7C562AE0ABA7}"/>
  </bookViews>
  <sheets>
    <sheet name="Sheet1" sheetId="1" r:id="rId1"/>
    <sheet name="Regions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9" i="1" l="1"/>
  <c r="E26" i="1"/>
  <c r="E28" i="1"/>
  <c r="E27" i="1"/>
  <c r="E25" i="1"/>
  <c r="F27" i="1"/>
  <c r="F28" i="1"/>
  <c r="G26" i="1"/>
  <c r="G27" i="1"/>
  <c r="F26" i="1"/>
  <c r="G28" i="1"/>
  <c r="E21" i="1"/>
  <c r="E20" i="1"/>
  <c r="E19" i="1"/>
  <c r="E18" i="1"/>
  <c r="E17" i="1"/>
  <c r="F11" i="1"/>
  <c r="I11" i="1"/>
  <c r="F9" i="1"/>
  <c r="K9" i="1"/>
  <c r="F7" i="1"/>
  <c r="I7" i="1" s="1"/>
  <c r="G9" i="1"/>
  <c r="J7" i="1"/>
  <c r="J11" i="1"/>
  <c r="F8" i="1"/>
  <c r="K8" i="1"/>
  <c r="F10" i="1"/>
  <c r="G7" i="1"/>
  <c r="K7" i="1"/>
  <c r="I9" i="1"/>
  <c r="J8" i="1"/>
  <c r="G11" i="1"/>
  <c r="G10" i="1"/>
  <c r="J9" i="1"/>
  <c r="K11" i="1"/>
  <c r="I8" i="1"/>
  <c r="G8" i="1"/>
  <c r="I10" i="1"/>
  <c r="K10" i="1"/>
  <c r="J10" i="1"/>
  <c r="F21" i="1"/>
  <c r="G21" i="1"/>
  <c r="F29" i="1"/>
  <c r="G29" i="1"/>
  <c r="F25" i="1"/>
  <c r="G25" i="1"/>
  <c r="F20" i="1"/>
  <c r="G20" i="1"/>
  <c r="F19" i="1"/>
  <c r="G19" i="1"/>
  <c r="F18" i="1"/>
  <c r="G18" i="1"/>
  <c r="F17" i="1"/>
  <c r="G17" i="1"/>
  <c r="J29" i="1"/>
  <c r="K29" i="1"/>
  <c r="L29" i="1"/>
  <c r="M29" i="1"/>
  <c r="N29" i="1"/>
  <c r="O29" i="1"/>
  <c r="J26" i="1"/>
  <c r="K26" i="1"/>
  <c r="L26" i="1"/>
  <c r="M26" i="1"/>
  <c r="N26" i="1"/>
  <c r="O26" i="1"/>
  <c r="J28" i="1"/>
  <c r="K28" i="1"/>
  <c r="L28" i="1"/>
  <c r="M28" i="1"/>
  <c r="N28" i="1"/>
  <c r="O28" i="1"/>
  <c r="J27" i="1"/>
  <c r="K27" i="1"/>
  <c r="L27" i="1"/>
  <c r="M27" i="1"/>
  <c r="N27" i="1"/>
  <c r="O27" i="1"/>
  <c r="J25" i="1"/>
  <c r="K25" i="1"/>
  <c r="L25" i="1"/>
  <c r="M25" i="1"/>
  <c r="N25" i="1"/>
  <c r="O25" i="1"/>
  <c r="J21" i="1"/>
  <c r="K21" i="1"/>
  <c r="L21" i="1"/>
  <c r="M21" i="1"/>
  <c r="N21" i="1"/>
  <c r="O21" i="1"/>
  <c r="J20" i="1"/>
  <c r="K20" i="1"/>
  <c r="M20" i="1"/>
  <c r="L20" i="1"/>
  <c r="N20" i="1"/>
  <c r="O20" i="1"/>
  <c r="J19" i="1"/>
  <c r="K19" i="1"/>
  <c r="M19" i="1"/>
  <c r="N19" i="1"/>
  <c r="L19" i="1"/>
  <c r="O19" i="1"/>
  <c r="J18" i="1"/>
  <c r="K18" i="1"/>
  <c r="M18" i="1"/>
  <c r="L18" i="1"/>
  <c r="N18" i="1"/>
  <c r="O18" i="1"/>
  <c r="J17" i="1"/>
  <c r="K17" i="1"/>
  <c r="L17" i="1"/>
  <c r="M17" i="1"/>
  <c r="N17" i="1"/>
  <c r="O17" i="1"/>
  <c r="H17" i="1" l="1"/>
  <c r="H18" i="1"/>
  <c r="H19" i="1"/>
  <c r="H20" i="1"/>
  <c r="H25" i="1"/>
  <c r="H29" i="1"/>
  <c r="H21" i="1"/>
  <c r="H26" i="1"/>
  <c r="H28" i="1"/>
  <c r="H27" i="1"/>
  <c r="H8" i="1"/>
  <c r="H10" i="1"/>
  <c r="H11" i="1"/>
  <c r="H7" i="1"/>
  <c r="H9" i="1"/>
</calcChain>
</file>

<file path=xl/sharedStrings.xml><?xml version="1.0" encoding="utf-8"?>
<sst xmlns="http://schemas.openxmlformats.org/spreadsheetml/2006/main" count="105" uniqueCount="99">
  <si>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</si>
  <si>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</si>
  <si>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</si>
  <si>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</si>
  <si>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</si>
  <si>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</si>
  <si>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</si>
  <si>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</si>
  <si>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</si>
  <si>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</si>
  <si>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</si>
  <si>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</si>
  <si>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</si>
  <si>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</si>
  <si>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</si>
  <si>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</si>
  <si>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</si>
  <si>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</si>
  <si>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</si>
  <si>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</si>
  <si>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</si>
  <si>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</si>
  <si>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</si>
  <si>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</si>
  <si>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</si>
  <si>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</si>
  <si>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</si>
  <si>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</si>
  <si>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slug: "asia-pacific-east",</t>
  </si>
  <si>
    <t>displayName: "East Asia"</t>
  </si>
  <si>
    <t>slug: "asia-pacific-southeast",</t>
  </si>
  <si>
    <t>displayName: "Southeast Asia"</t>
  </si>
  <si>
    <t>slug: "australia-central",</t>
  </si>
  <si>
    <t>displayName: "Australia Central"</t>
  </si>
  <si>
    <t>slug: "australia-central-2",</t>
  </si>
  <si>
    <t>displayName: "Australia Central 2"</t>
  </si>
  <si>
    <t>slug: "australia-east",</t>
  </si>
  <si>
    <t>displayName: "Australia East"</t>
  </si>
  <si>
    <t>slug: "australia-southeast",</t>
  </si>
  <si>
    <t>displayName: "Australia Southeast"</t>
  </si>
  <si>
    <t>slug: "brazil-south",</t>
  </si>
  <si>
    <t>displayName: "Brazil South"</t>
  </si>
  <si>
    <t>slug: "canada-central",</t>
  </si>
  <si>
    <t>displayName: "Canada Central"</t>
  </si>
  <si>
    <t>slug: "canada-east",</t>
  </si>
  <si>
    <t>displayName: "Canada East"</t>
  </si>
  <si>
    <t>slug: "central-india",</t>
  </si>
  <si>
    <t>displayName: "Central India"</t>
  </si>
  <si>
    <t>slug: "south-india",</t>
  </si>
  <si>
    <t>displayName: "South India"</t>
  </si>
  <si>
    <t>slug: "west-india",</t>
  </si>
  <si>
    <t>displayName: "West India"</t>
  </si>
  <si>
    <t>slug: "europe-north",</t>
  </si>
  <si>
    <t>displayName: "North Europe"</t>
  </si>
  <si>
    <t>slug: "europe-west",</t>
  </si>
  <si>
    <t>displayName: "West Europe"</t>
  </si>
  <si>
    <t>slug: "france-central",</t>
  </si>
  <si>
    <t>displayName: "France Central"</t>
  </si>
  <si>
    <t>slug: "france-south",</t>
  </si>
  <si>
    <t>displayName: "France South"</t>
  </si>
  <si>
    <t>slug: "germany-central",</t>
  </si>
  <si>
    <t>displayName: "Germany Central"</t>
  </si>
  <si>
    <t>slug: "germany-northeast",</t>
  </si>
  <si>
    <t>displayName: "Germany Northeast"</t>
  </si>
  <si>
    <t>slug: "japan-east",</t>
  </si>
  <si>
    <t>displayName: "Japan East"</t>
  </si>
  <si>
    <t>slug: "japan-west",</t>
  </si>
  <si>
    <t>displayName: "Japan West"</t>
  </si>
  <si>
    <t>slug: "korea-central",</t>
  </si>
  <si>
    <t>displayName: "Korea Central"</t>
  </si>
  <si>
    <t>slug: "korea-south",</t>
  </si>
  <si>
    <t>displayName: "Korea South"</t>
  </si>
  <si>
    <t>slug: "united-kingdom-south",</t>
  </si>
  <si>
    <t>displayName: "UK South"</t>
  </si>
  <si>
    <t>slug: "united-kingdom-west",</t>
  </si>
  <si>
    <t>displayName: "UK West"</t>
  </si>
  <si>
    <t>slug: "us-central",</t>
  </si>
  <si>
    <t>displayName: "Central US"</t>
  </si>
  <si>
    <t>slug: "us-east",</t>
  </si>
  <si>
    <t>displayName: "East US"</t>
  </si>
  <si>
    <t>slug: "us-east-2",</t>
  </si>
  <si>
    <t>displayName: "East US 2"</t>
  </si>
  <si>
    <t>slug: "us-north-central",</t>
  </si>
  <si>
    <t>displayName: "North Central US"</t>
  </si>
  <si>
    <t>slug: "us-south-central",</t>
  </si>
  <si>
    <t>displayName: "South Central US"</t>
  </si>
  <si>
    <t>slug: "us-west-central",</t>
  </si>
  <si>
    <t>displayName: "West Central US"</t>
  </si>
  <si>
    <t>slug: "us-west",</t>
  </si>
  <si>
    <t>displayName: "West US"</t>
  </si>
  <si>
    <t>slug: "us-west-2",</t>
  </si>
  <si>
    <t>displayName: "West US 2"</t>
  </si>
  <si>
    <t>slug: "usgov-arizona",</t>
  </si>
  <si>
    <t>displayName: "US Gov Arizona"</t>
  </si>
  <si>
    <t>slug: "usgov-texas",</t>
  </si>
  <si>
    <t>displayName: "US Gov Texas"</t>
  </si>
  <si>
    <t>slug: "usgov-virginia",</t>
  </si>
  <si>
    <t>displayName: "US Gov Virginia"</t>
  </si>
  <si>
    <t>Use the slug value in the formular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</si>
</sst>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A4:O29"/>
  <sheetViews>
    <sheetView tabSelected="1" topLeftCell="A4" workbookViewId="0">
      <selection activeCell="I23" sqref="I23"/>
    </sheetView>
  </sheetViews>
  <sheetFormatPr defaultRowHeight="14.5"/>
  <cols>
    <col min="1" max="1" width="17.08984375" customWidth="1"/>
    <col min="2" max="2" width="16.36328125" customWidth="1"/>
    <col min="3" max="3" width="21.6328125" customWidth="1"/>
    <col min="4" max="4" width="24.089843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  <col min="12" max="12" width="15.1796875" customWidth="1"/>
    <col min="13" max="13" width="16.36328125" customWidth="1"/>
    <col min="14" max="15" width="15.453125" customWidth="1"/>
  </cols>
  <sheetData>
    <row r="4" spans="1:15">
      <c r="E4" t="s">
        <v>3</v>
      </c>
    </row>
    <row r="5" spans="1:15">
      <c r="E5" t="s">
        <v>8</v>
      </c>
    </row>
    <row r="6" spans="1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</row>
    <row r="7" spans="1:15">
      <c r="B7">
        <v>1</v>
      </c>
      <c r="C7">
        <v>1</v>
      </c>
      <c r="D7">
        <v>3</v>
      </c>
      <c r="E7" t="s">
        <v>0</v>
      </c>
      <c r="F7" t="str">
        <f>getVM(B7,C7,D7,E7,$E$5)</f>
        <v>linux-b1s-standard</v>
      </c>
      <c r="G7" s="1">
        <f>getVMPriceHour(F7,D7,E7,$E$5)</f>
        <v>5.101965E-3</v>
      </c>
      <c r="H7" s="1">
        <f t="shared" ref="H7:H10" si="0">G7*730</f>
        <v>3.72443445</v>
      </c>
      <c r="I7" t="str">
        <f>getVMData($F7,$E7,$E$5,"isvcpu")</f>
        <v>False</v>
      </c>
      <c r="J7" t="str">
        <f>getVMData($F7,$E7,$E$5,"cores")</f>
        <v>1</v>
      </c>
      <c r="K7" t="str">
        <f>getVMData($F7,$E7,$E$5,"ram")</f>
        <v>1</v>
      </c>
    </row>
    <row r="8" spans="1:15">
      <c r="B8">
        <v>20</v>
      </c>
      <c r="C8">
        <v>1</v>
      </c>
      <c r="D8">
        <v>0</v>
      </c>
      <c r="E8" t="s">
        <v>0</v>
      </c>
      <c r="F8" t="str">
        <f>getVM(B8,C8,D8,E8,$E$5)</f>
        <v>linux-f32v2-standard</v>
      </c>
      <c r="G8" s="1">
        <f>getVMPriceHour(F8,D8,E8,$E$5)</f>
        <v>1.3796387999999999</v>
      </c>
      <c r="H8" s="1">
        <f t="shared" si="0"/>
        <v>1007.1363239999999</v>
      </c>
      <c r="I8" t="str">
        <f t="shared" ref="I8:I10" si="1">getVMData($F8,$E8,$E$5,"isvcpu")</f>
        <v>True</v>
      </c>
      <c r="J8" t="str">
        <f t="shared" ref="J8:J10" si="2">getVMData($F8,$E8,$E$5,"cores")</f>
        <v>32</v>
      </c>
      <c r="K8" t="str">
        <f t="shared" ref="K8:K10" si="3">getVMData($F8,$E8,$E$5,"ram")</f>
        <v>64</v>
      </c>
    </row>
    <row r="9" spans="1:15">
      <c r="B9">
        <v>1</v>
      </c>
      <c r="C9">
        <v>20</v>
      </c>
      <c r="D9">
        <v>0</v>
      </c>
      <c r="E9" t="s">
        <v>9</v>
      </c>
      <c r="F9" t="str">
        <f>getVM(B9,C9,D9,E9,$E$5)</f>
        <v>linux-a4mv2-standard</v>
      </c>
      <c r="G9" s="1">
        <f>getVMPriceHour(F9,D9,E9,$E$5)</f>
        <v>0.20070540000000001</v>
      </c>
      <c r="H9" s="1">
        <f t="shared" si="0"/>
        <v>146.51494199999999</v>
      </c>
      <c r="I9" t="str">
        <f t="shared" si="1"/>
        <v>False</v>
      </c>
      <c r="J9" t="str">
        <f t="shared" si="2"/>
        <v>4</v>
      </c>
      <c r="K9" t="str">
        <f t="shared" si="3"/>
        <v>32</v>
      </c>
    </row>
    <row r="10" spans="1:15">
      <c r="B10">
        <v>100</v>
      </c>
      <c r="C10">
        <v>100</v>
      </c>
      <c r="D10">
        <v>0</v>
      </c>
      <c r="E10" t="s">
        <v>10</v>
      </c>
      <c r="F10" t="str">
        <f>getVM(B10,C10,D10,E10,$E$5)</f>
        <v>linux-m128s-standard</v>
      </c>
      <c r="G10" s="1">
        <f>getVMPriceHour(F10,D10,E10,$E$5)</f>
        <v>11.247935399999999</v>
      </c>
      <c r="H10" s="1">
        <f t="shared" si="0"/>
        <v>8210.9928419999997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</row>
    <row r="11" spans="1:15">
      <c r="A11" t="s">
        <v>13</v>
      </c>
      <c r="B11">
        <v>1</v>
      </c>
      <c r="C11">
        <v>1</v>
      </c>
      <c r="D11">
        <v>3</v>
      </c>
      <c r="E11" t="s">
        <v>0</v>
      </c>
      <c r="F11" t="str">
        <f>getVM(B11,C11,D11,E11,$E$5,"linux-b")</f>
        <v>windows-b1s-standard</v>
      </c>
      <c r="G11" s="1">
        <f>getVMPriceHour(F11,D11,E11,$E$5)</f>
        <v>8.4751649999999998E-3</v>
      </c>
      <c r="H11" s="1">
        <f t="shared" ref="H11" si="4">G11*730</f>
        <v>6.1868704499999998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1</v>
      </c>
    </row>
    <row r="16" spans="1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t="str">
        <f>getManagedDisk(D17,$B$17,$E$5)</f>
        <v>standardhdd-s4</v>
      </c>
      <c r="F17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0.00042165</v>
      </c>
      <c r="M17" t="str">
        <f t="shared" si="5"/>
        <v/>
      </c>
      <c r="N17" t="str">
        <f t="shared" si="5"/>
        <v>0.042165</v>
      </c>
      <c r="O17" t="str">
        <f t="shared" si="5"/>
        <v>0.042165</v>
      </c>
    </row>
    <row r="18" spans="2:15">
      <c r="D18">
        <v>100</v>
      </c>
      <c r="E18" t="str">
        <f>getManagedDisk(D18,$B$17,$E$5)</f>
        <v>standardssd-e10</v>
      </c>
      <c r="F18">
        <f>getManagedDiskPriceMonth(E18,$B$17,$E$5)</f>
        <v>4.5335808000000002</v>
      </c>
      <c r="G18" t="str">
        <f t="shared" ref="G18:G21" si="6">getMDiskData(E18,$B$17,$E$5,"size")</f>
        <v>128</v>
      </c>
      <c r="H18">
        <f t="shared" ref="H18:H21" si="7">F18/G18</f>
        <v>3.5418600000000001E-2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0.0008433</v>
      </c>
      <c r="M18" t="str">
        <f t="shared" si="5"/>
        <v>0.06678936</v>
      </c>
      <c r="N18" t="str">
        <f t="shared" si="5"/>
        <v/>
      </c>
      <c r="O18" t="str">
        <f t="shared" si="5"/>
        <v/>
      </c>
    </row>
    <row r="19" spans="2:15">
      <c r="D19">
        <v>200</v>
      </c>
      <c r="E19" t="str">
        <f>getManagedDisk(D19,$B$17,$E$5)</f>
        <v>standardssd-e15</v>
      </c>
      <c r="F19">
        <f>getManagedDiskPriceMonth(E19,$B$17,$E$5)</f>
        <v>8.7433344000000002</v>
      </c>
      <c r="G19" t="str">
        <f t="shared" si="6"/>
        <v>256</v>
      </c>
      <c r="H19">
        <f t="shared" si="7"/>
        <v>3.4153650000000001E-2</v>
      </c>
      <c r="J19" t="str">
        <f t="shared" si="8"/>
        <v/>
      </c>
      <c r="K19" t="str">
        <f t="shared" si="9"/>
        <v/>
      </c>
      <c r="L19" t="str">
        <f t="shared" si="5"/>
        <v>0.0008433</v>
      </c>
      <c r="M19" t="str">
        <f t="shared" si="5"/>
        <v>0.06678936</v>
      </c>
      <c r="N19" t="str">
        <f t="shared" si="5"/>
        <v/>
      </c>
      <c r="O19" t="str">
        <f t="shared" si="5"/>
        <v/>
      </c>
    </row>
    <row r="20" spans="2:15">
      <c r="D20">
        <v>300</v>
      </c>
      <c r="E20" t="str">
        <f>getManagedDisk(D20,$B$17,$E$5)</f>
        <v>standardssd-e20</v>
      </c>
      <c r="F20">
        <f>getManagedDiskPriceMonth(E20,$B$17,$E$5)</f>
        <v>16.8390144</v>
      </c>
      <c r="G20" t="str">
        <f t="shared" si="6"/>
        <v>512</v>
      </c>
      <c r="H20">
        <f t="shared" si="7"/>
        <v>3.28887E-2</v>
      </c>
      <c r="J20" t="str">
        <f t="shared" si="8"/>
        <v/>
      </c>
      <c r="K20" t="str">
        <f t="shared" si="9"/>
        <v/>
      </c>
      <c r="L20" t="str">
        <f t="shared" si="5"/>
        <v>0.0008433</v>
      </c>
      <c r="M20" t="str">
        <f t="shared" si="5"/>
        <v>0.06678936</v>
      </c>
      <c r="N20" t="str">
        <f t="shared" si="5"/>
        <v/>
      </c>
      <c r="O20" t="str">
        <f t="shared" si="5"/>
        <v/>
      </c>
    </row>
    <row r="21" spans="2:15">
      <c r="D21">
        <v>1000</v>
      </c>
      <c r="E21" t="str">
        <f>getManagedDisk(D21,$B$17,$E$5)</f>
        <v>standardssd-e30</v>
      </c>
      <c r="F21">
        <f>getManagedDiskPriceMonth(E21,$B$17,$E$5)</f>
        <v>31.087411199999998</v>
      </c>
      <c r="G21" t="str">
        <f t="shared" si="6"/>
        <v>1024</v>
      </c>
      <c r="H21">
        <f t="shared" si="7"/>
        <v>3.0358799999999998E-2</v>
      </c>
      <c r="J21" t="str">
        <f t="shared" si="8"/>
        <v/>
      </c>
      <c r="K21" t="str">
        <f t="shared" si="9"/>
        <v/>
      </c>
      <c r="L21" t="str">
        <f t="shared" si="5"/>
        <v>0.0008433</v>
      </c>
      <c r="M21" t="str">
        <f t="shared" si="5"/>
        <v>0.06678936</v>
      </c>
      <c r="N21" t="str">
        <f t="shared" si="5"/>
        <v/>
      </c>
      <c r="O21" t="str">
        <f t="shared" si="5"/>
        <v/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t="str">
        <f>getManagedDisk(D25,$B$17,$E$5,"","premium")</f>
        <v>premiumssd-p4</v>
      </c>
      <c r="F25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0.0008433</v>
      </c>
      <c r="M25" t="str">
        <f t="shared" si="11"/>
        <v>0.1113156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t="str">
        <f t="shared" ref="E26:E29" si="12">getManagedDisk(D26,$B$17,$E$5,"","premium")</f>
        <v>premiumssd-p10</v>
      </c>
      <c r="F26">
        <f>getManagedDiskPriceMonth(E26,$B$17,$E$5)</f>
        <v>16.621442999999999</v>
      </c>
      <c r="G26" t="str">
        <f t="shared" ref="G26:G29" si="13">getMDiskData(E26,$B$17,$E$5,"size")</f>
        <v>128</v>
      </c>
      <c r="H26">
        <f t="shared" ref="H26:H29" si="14">F26/G26</f>
        <v>0.12985502343749999</v>
      </c>
      <c r="J26" t="str">
        <f t="shared" si="10"/>
        <v>500</v>
      </c>
      <c r="K26" t="str">
        <f t="shared" si="11"/>
        <v>100</v>
      </c>
      <c r="L26" t="str">
        <f t="shared" si="11"/>
        <v>0.0008433</v>
      </c>
      <c r="M26" t="str">
        <f t="shared" si="11"/>
        <v>0.1113156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t="str">
        <f t="shared" si="12"/>
        <v>premiumssd-p15</v>
      </c>
      <c r="F27">
        <f>getManagedDiskPriceMonth(E27,$B$17,$E$5)</f>
        <v>32.055639348600003</v>
      </c>
      <c r="G27" t="str">
        <f t="shared" si="13"/>
        <v>256</v>
      </c>
      <c r="H27">
        <f t="shared" si="14"/>
        <v>0.12521734120546876</v>
      </c>
      <c r="J27" t="str">
        <f t="shared" si="10"/>
        <v>1100</v>
      </c>
      <c r="K27" t="str">
        <f t="shared" si="11"/>
        <v>125</v>
      </c>
      <c r="L27" t="str">
        <f t="shared" si="11"/>
        <v>0.0008433</v>
      </c>
      <c r="M27" t="str">
        <f t="shared" si="11"/>
        <v>0.1113156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t="str">
        <f t="shared" si="12"/>
        <v>premiumssd-p20</v>
      </c>
      <c r="F28">
        <f>getManagedDiskPriceMonth(E28,$B$17,$E$5)</f>
        <v>61.746426</v>
      </c>
      <c r="G28" t="str">
        <f t="shared" si="13"/>
        <v>512</v>
      </c>
      <c r="H28">
        <f t="shared" si="14"/>
        <v>0.12059848828125</v>
      </c>
      <c r="J28" t="str">
        <f t="shared" si="10"/>
        <v>2300</v>
      </c>
      <c r="K28" t="str">
        <f t="shared" si="11"/>
        <v>150</v>
      </c>
      <c r="L28" t="str">
        <f t="shared" si="11"/>
        <v>0.0008433</v>
      </c>
      <c r="M28" t="str">
        <f t="shared" si="11"/>
        <v>0.1113156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t="str">
        <f t="shared" si="12"/>
        <v>premiumssd-p30</v>
      </c>
      <c r="F29">
        <f>getManagedDiskPriceMonth(E29,$B$17,$E$5)</f>
        <v>113.988861</v>
      </c>
      <c r="G29" t="str">
        <f t="shared" si="13"/>
        <v>1024</v>
      </c>
      <c r="H29">
        <f t="shared" si="14"/>
        <v>0.1113172470703125</v>
      </c>
      <c r="J29" t="str">
        <f t="shared" si="10"/>
        <v>5000</v>
      </c>
      <c r="K29" t="str">
        <f t="shared" si="11"/>
        <v>200</v>
      </c>
      <c r="L29" t="str">
        <f t="shared" si="11"/>
        <v>0.0008433</v>
      </c>
      <c r="M29" t="str">
        <f t="shared" si="11"/>
        <v>0.1113156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A1:B105"/>
  <sheetViews>
    <sheetView workbookViewId="0"/>
  </sheetViews>
  <sheetFormatPr defaultRowHeight="14.5"/>
  <sheetData>
    <row r="1" spans="1:2">
      <c r="A1" t="s">
        <v>98</v>
      </c>
    </row>
    <row r="2" spans="1:2">
      <c r="B2" t="s">
        <v>28</v>
      </c>
    </row>
    <row r="3" spans="1:2">
      <c r="B3" t="s">
        <v>29</v>
      </c>
    </row>
    <row r="5" spans="1:2">
      <c r="B5" t="s">
        <v>30</v>
      </c>
    </row>
    <row r="6" spans="1:2">
      <c r="B6" t="s">
        <v>31</v>
      </c>
    </row>
    <row r="8" spans="1:2">
      <c r="B8" t="s">
        <v>32</v>
      </c>
    </row>
    <row r="9" spans="1:2">
      <c r="B9" t="s">
        <v>33</v>
      </c>
    </row>
    <row r="11" spans="1:2">
      <c r="B11" t="s">
        <v>34</v>
      </c>
    </row>
    <row r="12" spans="1:2">
      <c r="B12" t="s">
        <v>35</v>
      </c>
    </row>
    <row r="14" spans="1:2">
      <c r="B14" t="s">
        <v>36</v>
      </c>
    </row>
    <row r="15" spans="1:2">
      <c r="B15" t="s">
        <v>37</v>
      </c>
    </row>
    <row r="17" spans="2:2">
      <c r="B17" t="s">
        <v>38</v>
      </c>
    </row>
    <row r="18" spans="2:2">
      <c r="B18" t="s">
        <v>39</v>
      </c>
    </row>
    <row r="20" spans="2:2">
      <c r="B20" t="s">
        <v>40</v>
      </c>
    </row>
    <row r="21" spans="2:2">
      <c r="B21" t="s">
        <v>41</v>
      </c>
    </row>
    <row r="23" spans="2:2">
      <c r="B23" t="s">
        <v>42</v>
      </c>
    </row>
    <row r="24" spans="2:2">
      <c r="B24" t="s">
        <v>43</v>
      </c>
    </row>
    <row r="26" spans="2:2">
      <c r="B26" t="s">
        <v>44</v>
      </c>
    </row>
    <row r="27" spans="2:2">
      <c r="B27" t="s">
        <v>45</v>
      </c>
    </row>
    <row r="29" spans="2:2">
      <c r="B29" t="s">
        <v>46</v>
      </c>
    </row>
    <row r="30" spans="2:2">
      <c r="B30" t="s">
        <v>47</v>
      </c>
    </row>
    <row r="32" spans="2:2">
      <c r="B32" t="s">
        <v>48</v>
      </c>
    </row>
    <row r="33" spans="2:2">
      <c r="B33" t="s">
        <v>49</v>
      </c>
    </row>
    <row r="35" spans="2:2">
      <c r="B35" t="s">
        <v>50</v>
      </c>
    </row>
    <row r="36" spans="2:2">
      <c r="B36" t="s">
        <v>51</v>
      </c>
    </row>
    <row r="38" spans="2:2">
      <c r="B38" t="s">
        <v>52</v>
      </c>
    </row>
    <row r="39" spans="2:2">
      <c r="B39" t="s">
        <v>53</v>
      </c>
    </row>
    <row r="41" spans="2:2">
      <c r="B41" t="s">
        <v>54</v>
      </c>
    </row>
    <row r="42" spans="2:2">
      <c r="B42" t="s">
        <v>55</v>
      </c>
    </row>
    <row r="44" spans="2:2">
      <c r="B44" t="s">
        <v>56</v>
      </c>
    </row>
    <row r="45" spans="2:2">
      <c r="B45" t="s">
        <v>57</v>
      </c>
    </row>
    <row r="47" spans="2:2">
      <c r="B47" t="s">
        <v>58</v>
      </c>
    </row>
    <row r="48" spans="2:2">
      <c r="B48" t="s">
        <v>59</v>
      </c>
    </row>
    <row r="50" spans="2:2">
      <c r="B50" t="s">
        <v>60</v>
      </c>
    </row>
    <row r="51" spans="2:2">
      <c r="B51" t="s">
        <v>61</v>
      </c>
    </row>
    <row r="53" spans="2:2">
      <c r="B53" t="s">
        <v>62</v>
      </c>
    </row>
    <row r="54" spans="2:2">
      <c r="B54" t="s">
        <v>63</v>
      </c>
    </row>
    <row r="56" spans="2:2">
      <c r="B56" t="s">
        <v>64</v>
      </c>
    </row>
    <row r="57" spans="2:2">
      <c r="B57" t="s">
        <v>65</v>
      </c>
    </row>
    <row r="59" spans="2:2">
      <c r="B59" t="s">
        <v>66</v>
      </c>
    </row>
    <row r="60" spans="2:2">
      <c r="B60" t="s">
        <v>67</v>
      </c>
    </row>
    <row r="62" spans="2:2">
      <c r="B62" t="s">
        <v>68</v>
      </c>
    </row>
    <row r="63" spans="2:2">
      <c r="B63" t="s">
        <v>69</v>
      </c>
    </row>
    <row r="65" spans="2:2">
      <c r="B65" t="s">
        <v>70</v>
      </c>
    </row>
    <row r="66" spans="2:2">
      <c r="B66" t="s">
        <v>71</v>
      </c>
    </row>
    <row r="68" spans="2:2">
      <c r="B68" t="s">
        <v>72</v>
      </c>
    </row>
    <row r="69" spans="2:2">
      <c r="B69" t="s">
        <v>73</v>
      </c>
    </row>
    <row r="71" spans="2:2">
      <c r="B71" t="s">
        <v>74</v>
      </c>
    </row>
    <row r="72" spans="2:2">
      <c r="B72" t="s">
        <v>75</v>
      </c>
    </row>
    <row r="74" spans="2:2">
      <c r="B74" t="s">
        <v>76</v>
      </c>
    </row>
    <row r="75" spans="2:2">
      <c r="B75" t="s">
        <v>77</v>
      </c>
    </row>
    <row r="77" spans="2:2">
      <c r="B77" t="s">
        <v>78</v>
      </c>
    </row>
    <row r="78" spans="2:2">
      <c r="B78" t="s">
        <v>79</v>
      </c>
    </row>
    <row r="80" spans="2:2">
      <c r="B80" t="s">
        <v>80</v>
      </c>
    </row>
    <row r="81" spans="2:2">
      <c r="B81" t="s">
        <v>81</v>
      </c>
    </row>
    <row r="83" spans="2:2">
      <c r="B83" t="s">
        <v>82</v>
      </c>
    </row>
    <row r="84" spans="2:2">
      <c r="B84" t="s">
        <v>83</v>
      </c>
    </row>
    <row r="86" spans="2:2">
      <c r="B86" t="s">
        <v>84</v>
      </c>
    </row>
    <row r="87" spans="2:2">
      <c r="B87" t="s">
        <v>85</v>
      </c>
    </row>
    <row r="89" spans="2:2">
      <c r="B89" t="s">
        <v>86</v>
      </c>
    </row>
    <row r="90" spans="2:2">
      <c r="B90" t="s">
        <v>87</v>
      </c>
    </row>
    <row r="92" spans="2:2">
      <c r="B92" t="s">
        <v>88</v>
      </c>
    </row>
    <row r="93" spans="2:2">
      <c r="B93" t="s">
        <v>89</v>
      </c>
    </row>
    <row r="95" spans="2:2">
      <c r="B95" t="s">
        <v>90</v>
      </c>
    </row>
    <row r="96" spans="2:2">
      <c r="B96" t="s">
        <v>91</v>
      </c>
    </row>
    <row r="98" spans="2:2">
      <c r="B98" t="s">
        <v>92</v>
      </c>
    </row>
    <row r="99" spans="2:2">
      <c r="B99" t="s">
        <v>93</v>
      </c>
    </row>
    <row r="101" spans="2:2">
      <c r="B101" t="s">
        <v>94</v>
      </c>
    </row>
    <row r="102" spans="2:2">
      <c r="B102" t="s">
        <v>95</v>
      </c>
    </row>
    <row r="104" spans="2:2">
      <c r="B104" t="s">
        <v>96</v>
      </c>
    </row>
    <row r="105" spans="2:2">
      <c r="B105" t="s">
        <v>97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Regions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2018-06-22T13:47:56Z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