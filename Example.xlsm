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chwar\Downloads\"/>
    </mc:Choice>
  </mc:AlternateContent>
  <xr:revisionPtr revIDLastSave="0" documentId="8_{8DE327A3-89AF-4929-8593-3C04AF24B4FF}" xr6:coauthVersionLast="43" xr6:coauthVersionMax="43" xr10:uidLastSave="{00000000-0000-0000-0000-000000000000}"/>
  <bookViews>
    <workbookView xWindow="-110" yWindow="-110" windowWidth="25820" windowHeight="14020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B14" i="5" l="1"/>
  <c r="B15" i="5" s="1"/>
  <c r="B16" i="5" s="1"/>
  <c r="B17" i="5" s="1"/>
  <c r="B18" i="5" s="1"/>
  <c r="B19" i="5" s="1"/>
  <c r="B20" i="5" s="1"/>
  <c r="B21" i="5" s="1"/>
  <c r="B5" i="5"/>
  <c r="B6" i="5" s="1"/>
  <c r="B7" i="5" s="1"/>
  <c r="B8" i="5" s="1"/>
  <c r="B9" i="5" s="1"/>
  <c r="B10" i="5" s="1"/>
  <c r="B11" i="5" s="1"/>
  <c r="F21" i="5"/>
  <c r="D21" i="5"/>
  <c r="C21" i="5"/>
  <c r="H5" i="3"/>
  <c r="H9" i="3"/>
  <c r="C44" i="3" l="1"/>
  <c r="C39" i="3"/>
  <c r="C38" i="3"/>
  <c r="C30" i="3"/>
  <c r="C25" i="3"/>
  <c r="C18" i="3"/>
  <c r="C17" i="3"/>
  <c r="C13" i="3"/>
  <c r="C12" i="3"/>
  <c r="C8" i="3"/>
  <c r="C6" i="3"/>
  <c r="C5" i="3"/>
  <c r="C19" i="3" l="1"/>
  <c r="C40" i="3"/>
  <c r="C46" i="3"/>
  <c r="C27" i="3"/>
  <c r="C32" i="3"/>
  <c r="C28" i="3"/>
  <c r="C33" i="3"/>
  <c r="C10" i="3"/>
  <c r="C14" i="3"/>
  <c r="C9" i="3"/>
  <c r="C26" i="3"/>
  <c r="C31" i="3"/>
  <c r="C45" i="3"/>
  <c r="C15" i="5"/>
  <c r="I15" i="5"/>
  <c r="C9" i="5"/>
  <c r="H9" i="5"/>
  <c r="N15" i="5"/>
  <c r="J15" i="5"/>
  <c r="K15" i="5"/>
  <c r="C16" i="5"/>
  <c r="H16" i="5"/>
  <c r="C17" i="5"/>
  <c r="F16" i="5"/>
  <c r="G17" i="5"/>
  <c r="G15" i="5"/>
  <c r="F9" i="5"/>
  <c r="I17" i="5"/>
  <c r="E16" i="5"/>
  <c r="J17" i="5"/>
  <c r="L17" i="5"/>
  <c r="H39" i="3"/>
  <c r="H17" i="3"/>
  <c r="K39" i="3"/>
  <c r="I17" i="3"/>
  <c r="H30" i="3"/>
  <c r="J22" i="3"/>
  <c r="J25" i="3"/>
  <c r="H38" i="3"/>
  <c r="J49" i="3"/>
  <c r="K5" i="3"/>
  <c r="H24" i="3"/>
  <c r="H10" i="3"/>
  <c r="H12" i="3"/>
  <c r="K12" i="3"/>
  <c r="H32" i="3"/>
  <c r="M9" i="3"/>
  <c r="H21" i="3"/>
  <c r="J40" i="3"/>
  <c r="M24" i="3"/>
  <c r="H41" i="3"/>
  <c r="I24" i="3"/>
  <c r="J46" i="3"/>
  <c r="K32" i="3"/>
  <c r="J43" i="3"/>
  <c r="H19" i="3"/>
  <c r="N5" i="3"/>
  <c r="I5" i="3"/>
  <c r="N30" i="3"/>
  <c r="I32" i="3"/>
  <c r="H46" i="3"/>
  <c r="I10" i="3"/>
  <c r="I21" i="3"/>
  <c r="N19" i="3"/>
  <c r="M46" i="3"/>
  <c r="E15" i="5"/>
  <c r="C10" i="5"/>
  <c r="C20" i="5"/>
  <c r="J20" i="5" s="1"/>
  <c r="M20" i="5"/>
  <c r="J9" i="5"/>
  <c r="C8" i="5"/>
  <c r="E10" i="5"/>
  <c r="C4" i="5"/>
  <c r="D9" i="5"/>
  <c r="N10" i="5"/>
  <c r="M4" i="5"/>
  <c r="N20" i="5"/>
  <c r="G16" i="5"/>
  <c r="D15" i="5"/>
  <c r="M9" i="5"/>
  <c r="H10" i="5"/>
  <c r="I20" i="5"/>
  <c r="C13" i="5"/>
  <c r="E9" i="5"/>
  <c r="L13" i="5"/>
  <c r="G8" i="5"/>
  <c r="I8" i="5"/>
  <c r="L16" i="5"/>
  <c r="F10" i="5"/>
  <c r="C19" i="5"/>
  <c r="I4" i="5"/>
  <c r="H8" i="5"/>
  <c r="J13" i="5"/>
  <c r="D16" i="5"/>
  <c r="M17" i="5"/>
  <c r="E19" i="5"/>
  <c r="F19" i="5"/>
  <c r="H49" i="3"/>
  <c r="I49" i="3" s="1"/>
  <c r="J37" i="3"/>
  <c r="H27" i="3"/>
  <c r="I27" i="3" s="1"/>
  <c r="J10" i="3"/>
  <c r="J16" i="3"/>
  <c r="H8" i="3"/>
  <c r="H16" i="3"/>
  <c r="H13" i="3"/>
  <c r="I13" i="3" s="1"/>
  <c r="J19" i="3"/>
  <c r="H34" i="3"/>
  <c r="J26" i="3"/>
  <c r="H37" i="3"/>
  <c r="M10" i="3"/>
  <c r="J6" i="3"/>
  <c r="I12" i="3"/>
  <c r="J5" i="3"/>
  <c r="J48" i="3"/>
  <c r="J32" i="3"/>
  <c r="K34" i="3"/>
  <c r="N13" i="3"/>
  <c r="H45" i="3"/>
  <c r="I45" i="3" s="1"/>
  <c r="N49" i="3"/>
  <c r="K8" i="3"/>
  <c r="J18" i="3"/>
  <c r="I41" i="3"/>
  <c r="N34" i="3"/>
  <c r="K10" i="3"/>
  <c r="N45" i="3"/>
  <c r="N46" i="3"/>
  <c r="L9" i="5"/>
  <c r="D13" i="5"/>
  <c r="C5" i="5"/>
  <c r="J4" i="5"/>
  <c r="D4" i="5"/>
  <c r="N8" i="5"/>
  <c r="K17" i="5"/>
  <c r="K19" i="5"/>
  <c r="M49" i="3"/>
  <c r="J14" i="3"/>
  <c r="H11" i="3"/>
  <c r="K11" i="3" s="1"/>
  <c r="J44" i="3"/>
  <c r="M13" i="3"/>
  <c r="H20" i="3"/>
  <c r="J11" i="3"/>
  <c r="M27" i="3"/>
  <c r="H25" i="3"/>
  <c r="H29" i="3"/>
  <c r="K13" i="3"/>
  <c r="J38" i="3"/>
  <c r="I9" i="3"/>
  <c r="I9" i="5"/>
  <c r="D20" i="5"/>
  <c r="C11" i="5"/>
  <c r="E5" i="5"/>
  <c r="G9" i="5"/>
  <c r="H17" i="5"/>
  <c r="M8" i="5"/>
  <c r="N11" i="5"/>
  <c r="C14" i="5"/>
  <c r="L10" i="5"/>
  <c r="K20" i="5"/>
  <c r="F15" i="5"/>
  <c r="G10" i="5"/>
  <c r="J10" i="5"/>
  <c r="F20" i="5"/>
  <c r="L20" i="5"/>
  <c r="N5" i="5"/>
  <c r="H15" i="5"/>
  <c r="F11" i="5"/>
  <c r="K4" i="5"/>
  <c r="H20" i="5"/>
  <c r="K16" i="5"/>
  <c r="M16" i="5"/>
  <c r="F8" i="5"/>
  <c r="E13" i="5"/>
  <c r="J5" i="5"/>
  <c r="E11" i="5"/>
  <c r="J11" i="5"/>
  <c r="N16" i="5"/>
  <c r="D17" i="5"/>
  <c r="N19" i="5"/>
  <c r="J19" i="5"/>
  <c r="J15" i="3"/>
  <c r="J36" i="3"/>
  <c r="J35" i="3"/>
  <c r="K27" i="3"/>
  <c r="M30" i="3"/>
  <c r="H6" i="3"/>
  <c r="J17" i="3"/>
  <c r="J21" i="3"/>
  <c r="J30" i="3"/>
  <c r="H44" i="3"/>
  <c r="J39" i="3"/>
  <c r="N39" i="3"/>
  <c r="H40" i="3"/>
  <c r="K9" i="3"/>
  <c r="J7" i="3"/>
  <c r="J42" i="3"/>
  <c r="N16" i="3"/>
  <c r="H43" i="3"/>
  <c r="J20" i="3"/>
  <c r="H31" i="3"/>
  <c r="I37" i="3"/>
  <c r="H15" i="3"/>
  <c r="J12" i="3"/>
  <c r="I38" i="3"/>
  <c r="M44" i="3"/>
  <c r="M38" i="3"/>
  <c r="N10" i="3"/>
  <c r="N21" i="3"/>
  <c r="K25" i="3"/>
  <c r="M29" i="3"/>
  <c r="I43" i="3"/>
  <c r="K45" i="3"/>
  <c r="M31" i="3"/>
  <c r="K15" i="3"/>
  <c r="K46" i="3"/>
  <c r="E20" i="5"/>
  <c r="G20" i="5"/>
  <c r="C7" i="5"/>
  <c r="K14" i="5"/>
  <c r="N14" i="5"/>
  <c r="M15" i="5"/>
  <c r="N17" i="5"/>
  <c r="C18" i="5"/>
  <c r="L4" i="5"/>
  <c r="F13" i="5"/>
  <c r="G5" i="5"/>
  <c r="I16" i="5"/>
  <c r="F17" i="5"/>
  <c r="K18" i="5"/>
  <c r="I19" i="5"/>
  <c r="H48" i="3"/>
  <c r="H42" i="3"/>
  <c r="H7" i="3"/>
  <c r="M11" i="3"/>
  <c r="J9" i="3"/>
  <c r="J8" i="3"/>
  <c r="J13" i="3"/>
  <c r="N37" i="3"/>
  <c r="J31" i="3"/>
  <c r="J27" i="3"/>
  <c r="N6" i="3"/>
  <c r="J33" i="3"/>
  <c r="H36" i="3"/>
  <c r="N29" i="3"/>
  <c r="N38" i="3"/>
  <c r="M21" i="3"/>
  <c r="K41" i="3"/>
  <c r="I19" i="3"/>
  <c r="K9" i="5"/>
  <c r="H14" i="5"/>
  <c r="F4" i="5"/>
  <c r="E8" i="5"/>
  <c r="C6" i="5"/>
  <c r="I13" i="5"/>
  <c r="K7" i="5"/>
  <c r="L8" i="5"/>
  <c r="N4" i="5"/>
  <c r="L5" i="5"/>
  <c r="J16" i="5"/>
  <c r="E17" i="5"/>
  <c r="I18" i="5"/>
  <c r="H23" i="3"/>
  <c r="J47" i="3"/>
  <c r="J34" i="3"/>
  <c r="M39" i="3"/>
  <c r="H14" i="3"/>
  <c r="H47" i="3"/>
  <c r="N9" i="3"/>
  <c r="K14" i="3"/>
  <c r="N36" i="3"/>
  <c r="I30" i="3"/>
  <c r="K31" i="3"/>
  <c r="J21" i="5"/>
  <c r="H22" i="3"/>
  <c r="N17" i="3"/>
  <c r="J45" i="3"/>
  <c r="J23" i="3"/>
  <c r="N48" i="3"/>
  <c r="H26" i="3"/>
  <c r="M45" i="3"/>
  <c r="K20" i="3"/>
  <c r="M41" i="3"/>
  <c r="M19" i="3"/>
  <c r="J29" i="3"/>
  <c r="K21" i="3"/>
  <c r="H19" i="5"/>
  <c r="I39" i="3"/>
  <c r="J28" i="3"/>
  <c r="J24" i="3"/>
  <c r="K6" i="3"/>
  <c r="H28" i="3"/>
  <c r="M5" i="3"/>
  <c r="K30" i="3"/>
  <c r="N22" i="3"/>
  <c r="N40" i="3"/>
  <c r="K43" i="3"/>
  <c r="I46" i="3"/>
  <c r="D19" i="5"/>
  <c r="J41" i="3"/>
  <c r="H33" i="3"/>
  <c r="H18" i="3"/>
  <c r="N32" i="3"/>
  <c r="H35" i="3"/>
  <c r="M7" i="3"/>
  <c r="N9" i="5"/>
  <c r="K38" i="3"/>
  <c r="N20" i="3"/>
  <c r="M28" i="3"/>
  <c r="N24" i="3"/>
  <c r="N41" i="3"/>
  <c r="M37" i="3"/>
  <c r="N42" i="3"/>
  <c r="K16" i="3"/>
  <c r="N27" i="3"/>
  <c r="M15" i="3"/>
  <c r="F7" i="1"/>
  <c r="M16" i="3"/>
  <c r="F8" i="1"/>
  <c r="I10" i="5"/>
  <c r="M48" i="3"/>
  <c r="K17" i="3"/>
  <c r="K22" i="3"/>
  <c r="M12" i="3"/>
  <c r="L15" i="5"/>
  <c r="K19" i="3"/>
  <c r="M17" i="3"/>
  <c r="M47" i="3"/>
  <c r="I7" i="3"/>
  <c r="M26" i="3"/>
  <c r="M25" i="3"/>
  <c r="N12" i="3"/>
  <c r="I16" i="3"/>
  <c r="I34" i="3"/>
  <c r="I8" i="3"/>
  <c r="M10" i="5"/>
  <c r="K10" i="5"/>
  <c r="D10" i="5"/>
  <c r="J8" i="5"/>
  <c r="D8" i="5"/>
  <c r="K8" i="5"/>
  <c r="G4" i="5"/>
  <c r="E4" i="5"/>
  <c r="H4" i="5"/>
  <c r="G13" i="5"/>
  <c r="M13" i="5"/>
  <c r="N13" i="5"/>
  <c r="K13" i="5"/>
  <c r="H13" i="5"/>
  <c r="G19" i="5"/>
  <c r="M19" i="5"/>
  <c r="L19" i="5"/>
  <c r="M8" i="3"/>
  <c r="I5" i="5"/>
  <c r="H5" i="5"/>
  <c r="M5" i="5"/>
  <c r="D5" i="5"/>
  <c r="K5" i="5"/>
  <c r="F5" i="5"/>
  <c r="N11" i="3"/>
  <c r="I11" i="3"/>
  <c r="I20" i="3"/>
  <c r="M20" i="3"/>
  <c r="N25" i="3"/>
  <c r="I25" i="3"/>
  <c r="K29" i="3"/>
  <c r="I29" i="3"/>
  <c r="I11" i="5"/>
  <c r="L11" i="5"/>
  <c r="G11" i="5"/>
  <c r="H11" i="5"/>
  <c r="D11" i="5"/>
  <c r="K11" i="5"/>
  <c r="M11" i="5"/>
  <c r="J14" i="5"/>
  <c r="E14" i="5"/>
  <c r="L14" i="5"/>
  <c r="D14" i="5"/>
  <c r="F14" i="5"/>
  <c r="I14" i="5"/>
  <c r="M14" i="5"/>
  <c r="G14" i="5"/>
  <c r="I6" i="3"/>
  <c r="K44" i="3"/>
  <c r="I44" i="3"/>
  <c r="M40" i="3"/>
  <c r="I40" i="3"/>
  <c r="K40" i="3"/>
  <c r="M43" i="3"/>
  <c r="N43" i="3"/>
  <c r="I31" i="3"/>
  <c r="N31" i="3"/>
  <c r="I15" i="3"/>
  <c r="N15" i="3"/>
  <c r="I7" i="5"/>
  <c r="E7" i="5"/>
  <c r="M7" i="5"/>
  <c r="H7" i="5"/>
  <c r="G7" i="5"/>
  <c r="J7" i="5"/>
  <c r="N7" i="5"/>
  <c r="L7" i="5"/>
  <c r="D7" i="5"/>
  <c r="F7" i="5"/>
  <c r="H18" i="5"/>
  <c r="E18" i="5"/>
  <c r="J18" i="5"/>
  <c r="D18" i="5"/>
  <c r="N18" i="5"/>
  <c r="G18" i="5"/>
  <c r="M18" i="5"/>
  <c r="L18" i="5"/>
  <c r="F18" i="5"/>
  <c r="I48" i="3"/>
  <c r="K48" i="3"/>
  <c r="K42" i="3"/>
  <c r="M42" i="3"/>
  <c r="I42" i="3"/>
  <c r="N7" i="3"/>
  <c r="K7" i="3"/>
  <c r="K36" i="3"/>
  <c r="M36" i="3"/>
  <c r="I36" i="3"/>
  <c r="G6" i="5"/>
  <c r="H6" i="5"/>
  <c r="I6" i="5"/>
  <c r="F6" i="5"/>
  <c r="K6" i="5"/>
  <c r="E6" i="5"/>
  <c r="J6" i="5"/>
  <c r="L6" i="5"/>
  <c r="M6" i="5"/>
  <c r="N6" i="5"/>
  <c r="D6" i="5"/>
  <c r="I21" i="5"/>
  <c r="K21" i="5"/>
  <c r="G21" i="5"/>
  <c r="L21" i="5"/>
  <c r="H21" i="5"/>
  <c r="E21" i="5"/>
  <c r="M23" i="3"/>
  <c r="I23" i="3"/>
  <c r="N23" i="3"/>
  <c r="K23" i="3"/>
  <c r="N14" i="3"/>
  <c r="I14" i="3"/>
  <c r="M14" i="3"/>
  <c r="N47" i="3"/>
  <c r="K47" i="3"/>
  <c r="I47" i="3"/>
  <c r="I22" i="3"/>
  <c r="M22" i="3"/>
  <c r="N26" i="3"/>
  <c r="K26" i="3"/>
  <c r="I26" i="3"/>
  <c r="K28" i="3"/>
  <c r="N28" i="3"/>
  <c r="N33" i="3"/>
  <c r="K33" i="3"/>
  <c r="M33" i="3"/>
  <c r="N18" i="3"/>
  <c r="K18" i="3"/>
  <c r="M18" i="3"/>
  <c r="K35" i="3"/>
  <c r="I35" i="3"/>
  <c r="M35" i="3"/>
  <c r="N35" i="3"/>
  <c r="L35" i="3" l="1"/>
  <c r="L26" i="3"/>
  <c r="L47" i="3"/>
  <c r="L14" i="3"/>
  <c r="L23" i="3"/>
  <c r="L36" i="3"/>
  <c r="L42" i="3"/>
  <c r="L48" i="3"/>
  <c r="L15" i="3"/>
  <c r="L31" i="3"/>
  <c r="L40" i="3"/>
  <c r="L44" i="3"/>
  <c r="L6" i="3"/>
  <c r="L29" i="3"/>
  <c r="L25" i="3"/>
  <c r="L20" i="3"/>
  <c r="L46" i="3"/>
  <c r="L39" i="3"/>
  <c r="L30" i="3"/>
  <c r="L43" i="3"/>
  <c r="L9" i="3"/>
  <c r="L41" i="3"/>
  <c r="L45" i="3"/>
  <c r="L12" i="3"/>
  <c r="L13" i="3"/>
  <c r="L27" i="3"/>
  <c r="L21" i="3"/>
  <c r="L10" i="3"/>
  <c r="L32" i="3"/>
  <c r="L5" i="3"/>
  <c r="L17" i="3"/>
  <c r="L34" i="3"/>
  <c r="L19" i="3"/>
  <c r="L22" i="3"/>
  <c r="L8" i="3"/>
  <c r="L16" i="3"/>
  <c r="L7" i="3"/>
  <c r="L38" i="3"/>
  <c r="L11" i="3"/>
  <c r="C48" i="3"/>
  <c r="C41" i="3"/>
  <c r="C7" i="3"/>
  <c r="C47" i="3"/>
  <c r="C11" i="3"/>
  <c r="C15" i="3"/>
  <c r="C34" i="3"/>
  <c r="C20" i="3"/>
  <c r="I18" i="3"/>
  <c r="N44" i="3"/>
  <c r="M32" i="3"/>
  <c r="K8" i="1"/>
  <c r="J7" i="1"/>
  <c r="E26" i="1"/>
  <c r="E18" i="1"/>
  <c r="E20" i="1"/>
  <c r="N20" i="1"/>
  <c r="J8" i="1"/>
  <c r="G20" i="1"/>
  <c r="G26" i="1"/>
  <c r="N26" i="1"/>
  <c r="J18" i="1"/>
  <c r="F20" i="1"/>
  <c r="K7" i="1"/>
  <c r="E17" i="1"/>
  <c r="L26" i="1"/>
  <c r="F18" i="1"/>
  <c r="K20" i="1"/>
  <c r="J17" i="1"/>
  <c r="E28" i="1"/>
  <c r="O28" i="1" s="1"/>
  <c r="E19" i="1"/>
  <c r="N19" i="1"/>
  <c r="M20" i="1"/>
  <c r="K18" i="1"/>
  <c r="F26" i="1"/>
  <c r="L19" i="1"/>
  <c r="O17" i="1"/>
  <c r="I33" i="3"/>
  <c r="M6" i="3"/>
  <c r="N8" i="3"/>
  <c r="K24" i="3"/>
  <c r="I8" i="1"/>
  <c r="E21" i="1"/>
  <c r="F28" i="1"/>
  <c r="G28" i="1"/>
  <c r="M28" i="1"/>
  <c r="L20" i="1"/>
  <c r="N18" i="1"/>
  <c r="O21" i="1"/>
  <c r="M21" i="1"/>
  <c r="G7" i="1"/>
  <c r="J21" i="1"/>
  <c r="K26" i="1"/>
  <c r="L18" i="1"/>
  <c r="G19" i="1"/>
  <c r="M19" i="1"/>
  <c r="J10" i="1"/>
  <c r="F17" i="1"/>
  <c r="K37" i="3"/>
  <c r="E27" i="1"/>
  <c r="K21" i="1"/>
  <c r="E29" i="1"/>
  <c r="K28" i="1"/>
  <c r="E25" i="1"/>
  <c r="F11" i="1"/>
  <c r="M26" i="1"/>
  <c r="L29" i="1"/>
  <c r="K19" i="1"/>
  <c r="G25" i="1"/>
  <c r="I10" i="1"/>
  <c r="I28" i="3"/>
  <c r="M34" i="3"/>
  <c r="F9" i="1"/>
  <c r="K9" i="1" s="1"/>
  <c r="N28" i="1"/>
  <c r="G8" i="1"/>
  <c r="K29" i="1"/>
  <c r="O19" i="1"/>
  <c r="O26" i="1"/>
  <c r="J20" i="1"/>
  <c r="J26" i="1"/>
  <c r="G18" i="1"/>
  <c r="O20" i="1"/>
  <c r="G11" i="1"/>
  <c r="G17" i="1"/>
  <c r="L17" i="1"/>
  <c r="M17" i="1"/>
  <c r="F19" i="1"/>
  <c r="J19" i="1"/>
  <c r="L21" i="1"/>
  <c r="F21" i="1"/>
  <c r="N21" i="1"/>
  <c r="K27" i="1"/>
  <c r="M27" i="1"/>
  <c r="O27" i="1"/>
  <c r="N27" i="1"/>
  <c r="F29" i="1"/>
  <c r="G29" i="1"/>
  <c r="O29" i="1"/>
  <c r="J29" i="1"/>
  <c r="N29" i="1"/>
  <c r="M29" i="1"/>
  <c r="L25" i="1"/>
  <c r="K25" i="1"/>
  <c r="J25" i="1"/>
  <c r="M25" i="1"/>
  <c r="O25" i="1"/>
  <c r="N25" i="1"/>
  <c r="I11" i="1"/>
  <c r="K11" i="1"/>
  <c r="C2" i="3" l="1"/>
  <c r="L28" i="3"/>
  <c r="L37" i="3"/>
  <c r="L24" i="3"/>
  <c r="L33" i="3"/>
  <c r="L18" i="3"/>
  <c r="C29" i="3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J9" i="1"/>
  <c r="G21" i="1"/>
  <c r="J28" i="1"/>
  <c r="F27" i="1"/>
  <c r="J11" i="1"/>
  <c r="G27" i="1"/>
  <c r="J27" i="1"/>
  <c r="G10" i="1"/>
  <c r="I9" i="1"/>
  <c r="K10" i="1"/>
  <c r="I7" i="1"/>
  <c r="O18" i="1"/>
  <c r="L27" i="1"/>
  <c r="K17" i="1"/>
  <c r="N17" i="1"/>
  <c r="M18" i="1"/>
  <c r="F25" i="1"/>
  <c r="G9" i="1"/>
  <c r="L28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<sst xmlns="http://schemas.openxmlformats.org/spreadsheetml/2006/main" count="161" uniqueCount="131">
  <si>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</si>
  <si>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</si>
  <si>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</si>
  <si>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</si>
  <si>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</si>
  <si>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</si>
  <si>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</si>
  <si>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</si>
  <si>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</si>
  <si>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</si>
  <si>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</si>
  <si>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</si>
  <si>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</si>
  <si>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</si>
  <si>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</si>
  <si>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</si>
  <si>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</si>
  <si>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</si>
  <si>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</si>
  <si>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</si>
  <si>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</si>
  <si>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</si>
  <si>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</si>
  <si>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</si>
  <si>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</si>
  <si>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</si>
  <si>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</si>
  <si>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</si>
  <si>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</si>
  <si>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</si>
  <si>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</si>
  <si>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</si>
  <si>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</si>
  <si>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</si>
  <si>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</si>
  <si>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</si>
  <si>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</si>
  <si>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</si>
  <si>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</si>
  <si>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</si>
  <si>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</si>
  <si>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</si>
  <si>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</si>
  <si>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</si>
  <si>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</si>
  <si>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</si>
  <si>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</si>
  <si>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</si>
  <si>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</si>
  <si>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</si>
  <si>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</si>
  <si>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</si>
  <si>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</si>
  <si>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</si>
  <si>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</si>
  <si>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</si>
  <si>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</si>
  <si>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</si>
  <si>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</si>
  <si>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</si>
  <si>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</si>
  <si>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</si>
  <si>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</si>
  <si>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</si>
  <si>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</si>
  <si>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</si>
  <si>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</si>
  <si>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</si>
  <si>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</si>
  <si>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</si>
  <si>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</si>
  <si>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</si>
  <si>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</si>
  <si>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</si>
  <si>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</si>
  <si>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</si>
  <si>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</si>
  <si>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</si>
  <si>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</si>
  <si>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</si>
  <si>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</si>
  <si>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</si>
  <si>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</si>
  <si>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</si>
  <si>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</si>
  <si>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</si>
  <si>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</si>
  <si>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</si>
  <si>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</si>
  <si>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</si>
  <si>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</si>
  <si>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</si>
  <si>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</si>
  <si>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</si>
  <si>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</si>
  <si>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</si>
  <si>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</si>
  <si>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</si>
  <si>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</si>
  <si>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</si>
  <si>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</si>
  <si>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</si>
  <si>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</si>
  <si>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</si>
  <si>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</si>
  <si>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</si>
  <si>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</si>
  <si>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</si>
  <si>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</si>
  <si>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</si>
  <si>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</si>
  <si>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</si>
  <si>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</si>
  <si>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</si>
  <si>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</si>
  <si>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</si>
  <si>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</si>
  <si>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</si>
  <si>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</si>
  <si>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</si>
  <si>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</si>
  <si>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</si>
  <si>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</si>
  <si>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</si>
  <si>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</si>
  <si>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</si>
  <si>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</si>
  <si>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</si>
  <si>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</si>
  <si>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</si>
  <si>
    <t>Cost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</si>
</sst>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.&quot;_-;\-* #,##0.00\ &quot;kr.&quot;_-;_-* &quot;-&quot;??\ &quot;kr.&quot;_-;_-@_-"/>
    <numFmt numFmtId="164" formatCode="_-[$€-2]\ * #,##0.00_-;\-[$€-2]\ * #,##0.00_-;_-[$€-2]\ * &quot;-&quot;??_-;_-@_-"/>
    <numFmt numFmtId="165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5" fontId="5" fillId="0" borderId="0" xfId="0" applyNumberFormat="1" applyFont="1"/>
    <xf numFmtId="44" fontId="5" fillId="0" borderId="0" xfId="1" applyFont="1"/>
    <xf numFmtId="44" fontId="4" fillId="0" borderId="0" xfId="1" applyFont="1"/>
    <xf numFmtId="9" fontId="5" fillId="0" borderId="0" xfId="2" applyFont="1"/>
    <xf numFmtId="165" fontId="5" fillId="0" borderId="0" xfId="2" applyNumberFormat="1" applyFont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164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5" fillId="0" borderId="0" xfId="1" applyNumberFormat="1" applyFont="1"/>
    <xf numFmtId="164" fontId="5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1:R50"/>
  <sheetViews>
    <sheetView tabSelected="1" zoomScale="140" workbookViewId="0">
      <selection activeCell="A23" sqref="A23"/>
    </sheetView>
  </sheetViews>
  <sheetFormatPr defaultColWidth="8.7265625" defaultRowHeight="12"/>
  <cols>
    <col min="1" max="2" width="8.7265625" style="5"/>
    <col min="3" max="3" width="22.1796875" style="5" bestFit="1" customWidth="1"/>
    <col min="4" max="4" width="4.54296875" style="5" bestFit="1" customWidth="1"/>
    <col min="5" max="5" width="5.54296875" style="5" customWidth="1"/>
    <col min="6" max="6" width="5" style="5" bestFit="1" customWidth="1"/>
    <col min="7" max="7" width="8.7265625" style="5"/>
    <col min="8" max="8" width="16.453125" style="5" customWidth="1"/>
    <col min="9" max="9" width="15.54296875" style="7" customWidth="1"/>
    <col min="10" max="10" width="20.453125" style="5" customWidth="1"/>
    <col min="11" max="11" width="18.453125" style="5" customWidth="1"/>
    <col min="12" max="13" width="13.54296875" style="5" bestFit="1" customWidth="1"/>
    <col min="14" max="14" width="8.7265625" style="5"/>
    <col min="15" max="15" width="21.7265625" style="5" bestFit="1" customWidth="1"/>
    <col min="16" max="16" width="14.453125" style="7" bestFit="1" customWidth="1"/>
    <col min="17" max="17" width="8.7265625" style="5"/>
    <col min="18" max="18" width="13.54296875" style="5" bestFit="1" customWidth="1"/>
    <col min="19" max="16384" width="8.7265625" style="5"/>
  </cols>
  <sheetData>
    <row r="1" spans="1:17">
      <c r="C1" s="4" t="s">
        <v>130</v>
      </c>
    </row>
    <row r="2" spans="1:17">
      <c r="C2" s="20">
        <f>SUMPRODUCT(F5:F49,I5:I49)</f>
        <v>13840799.415850349</v>
      </c>
    </row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8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4" t="str">
        <f t="shared" ref="H5:H49" si="0">getVM(D5,E5,$A$6,$A$8,$A$10,)</f>
        <v>linux-b1ms-standard</v>
      </c>
      <c r="I5" s="18">
        <f>getVMPriceHour(H5,$A$6,$A$8,$A$10)*$A$12</f>
        <v>13.974324299999999</v>
      </c>
      <c r="J5" s="14" t="str">
        <f>getVM(D5,E5,$A$6,$A$8,$A$10,"","windows")</f>
        <v>windows-b1ms-standard</v>
      </c>
      <c r="K5" s="14">
        <f>getVMPriceHour(H5,3,$A$8,$A$10)*$A$12</f>
        <v>6.7963233599999997</v>
      </c>
      <c r="L5" s="19">
        <f>I5-K5</f>
        <v>7.1780009399999996</v>
      </c>
      <c r="M5" s="10" t="str">
        <f>getVMData(H5,$A$8,$A$10,"cores")</f>
        <v>1</v>
      </c>
      <c r="N5" s="10" t="str">
        <f>getVMData(H5,$A$8,$A$10,"cores")</f>
        <v>1</v>
      </c>
      <c r="O5" s="14"/>
      <c r="Q5" s="9"/>
    </row>
    <row r="6" spans="1:17">
      <c r="A6" s="5">
        <v>0</v>
      </c>
      <c r="C6" s="5" t="str">
        <f t="shared" ref="C6:C49" si="1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4" t="str">
        <f t="shared" si="0"/>
        <v>linux-b2s-standard</v>
      </c>
      <c r="I6" s="18">
        <f t="shared" ref="I6:I49" si="2">getVMPriceHour(H6,$A$6,$A$8,$A$10)*$A$12</f>
        <v>27.702405000000002</v>
      </c>
      <c r="J6" s="14" t="str">
        <f t="shared" ref="J6:J49" si="3">getVM(D6,E6,$A$6,$A$8,$A$10,"","windows")</f>
        <v>windows-b2s-standard</v>
      </c>
      <c r="K6" s="14">
        <f t="shared" ref="K6:K49" si="4">getVMPriceHour(H6,3,$A$8,$A$10)*$A$12</f>
        <v>13.561866269999999</v>
      </c>
      <c r="L6" s="19">
        <f t="shared" ref="L6:L49" si="5">I6-K6</f>
        <v>14.140538730000003</v>
      </c>
      <c r="M6" s="10" t="str">
        <f t="shared" ref="M6:M49" si="6">getVMData(H6,$A$8,$A$10,"cores")</f>
        <v>2</v>
      </c>
      <c r="N6" s="10" t="str">
        <f t="shared" ref="N6:N49" si="7">getVMData(H6,$A$8,$A$10,"cores")</f>
        <v>2</v>
      </c>
      <c r="O6" s="14"/>
      <c r="Q6" s="9"/>
    </row>
    <row r="7" spans="1:17">
      <c r="A7" s="4" t="s">
        <v>16</v>
      </c>
      <c r="C7" s="5" t="str">
        <f t="shared" si="1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4" t="str">
        <f>getVM(D7,E7,$A$6,$A$8,$A$10,)</f>
        <v>linux-b2ms-standard</v>
      </c>
      <c r="I7" s="18">
        <f t="shared" si="2"/>
        <v>56.020418999999997</v>
      </c>
      <c r="J7" s="14" t="str">
        <f t="shared" si="3"/>
        <v>windows-b2ms-standard</v>
      </c>
      <c r="K7" s="14">
        <f t="shared" si="4"/>
        <v>27.1483569</v>
      </c>
      <c r="L7" s="19">
        <f t="shared" si="5"/>
        <v>28.872062099999997</v>
      </c>
      <c r="M7" s="10" t="str">
        <f t="shared" si="6"/>
        <v>2</v>
      </c>
      <c r="N7" s="10" t="str">
        <f t="shared" si="7"/>
        <v>2</v>
      </c>
      <c r="O7" s="14"/>
      <c r="Q7" s="9"/>
    </row>
    <row r="8" spans="1:17">
      <c r="A8" s="5" t="s">
        <v>20</v>
      </c>
      <c r="C8" s="5" t="str">
        <f t="shared" si="1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4" t="str">
        <f>getVM(D8,E8,$A$6,$A$8,$A$10,)</f>
        <v>linux-b2s-standard</v>
      </c>
      <c r="I8" s="18">
        <f t="shared" si="2"/>
        <v>27.702405000000002</v>
      </c>
      <c r="J8" s="14" t="str">
        <f t="shared" si="3"/>
        <v>windows-b2s-standard</v>
      </c>
      <c r="K8" s="14">
        <f t="shared" si="4"/>
        <v>13.561866269999999</v>
      </c>
      <c r="L8" s="19">
        <f t="shared" si="5"/>
        <v>14.140538730000003</v>
      </c>
      <c r="M8" s="10" t="str">
        <f t="shared" si="6"/>
        <v>2</v>
      </c>
      <c r="N8" s="10" t="str">
        <f t="shared" si="7"/>
        <v>2</v>
      </c>
      <c r="O8" s="14"/>
      <c r="Q8" s="9"/>
    </row>
    <row r="9" spans="1:17">
      <c r="A9" s="4" t="s">
        <v>3</v>
      </c>
      <c r="C9" s="5" t="str">
        <f t="shared" si="1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4" t="str">
        <f>getVM(D9,E9,$A$6,$A$8,$A$10,)</f>
        <v>linux-b2s-standard</v>
      </c>
      <c r="I9" s="18">
        <f t="shared" si="2"/>
        <v>27.702405000000002</v>
      </c>
      <c r="J9" s="14" t="str">
        <f t="shared" si="3"/>
        <v>windows-b2s-standard</v>
      </c>
      <c r="K9" s="14">
        <f t="shared" si="4"/>
        <v>13.561866269999999</v>
      </c>
      <c r="L9" s="19">
        <f t="shared" si="5"/>
        <v>14.140538730000003</v>
      </c>
      <c r="M9" s="10" t="str">
        <f t="shared" si="6"/>
        <v>2</v>
      </c>
      <c r="N9" s="10" t="str">
        <f t="shared" si="7"/>
        <v>2</v>
      </c>
      <c r="O9" s="14"/>
      <c r="Q9" s="9"/>
    </row>
    <row r="10" spans="1:17">
      <c r="A10" s="5" t="s">
        <v>8</v>
      </c>
      <c r="C10" s="5" t="str">
        <f t="shared" si="1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4" t="str">
        <f t="shared" si="0"/>
        <v>linux-b2ms-standard</v>
      </c>
      <c r="I10" s="18">
        <f t="shared" si="2"/>
        <v>56.020418999999997</v>
      </c>
      <c r="J10" s="14" t="str">
        <f t="shared" si="3"/>
        <v>windows-b2ms-standard</v>
      </c>
      <c r="K10" s="14">
        <f t="shared" si="4"/>
        <v>27.1483569</v>
      </c>
      <c r="L10" s="19">
        <f t="shared" si="5"/>
        <v>28.872062099999997</v>
      </c>
      <c r="M10" s="10" t="str">
        <f t="shared" si="6"/>
        <v>2</v>
      </c>
      <c r="N10" s="10" t="str">
        <f t="shared" si="7"/>
        <v>2</v>
      </c>
      <c r="O10" s="14"/>
      <c r="P10" s="19"/>
      <c r="Q10" s="9"/>
    </row>
    <row r="11" spans="1:17">
      <c r="A11" s="4" t="s">
        <v>115</v>
      </c>
      <c r="C11" s="5" t="str">
        <f t="shared" si="1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4" t="str">
        <f t="shared" si="0"/>
        <v>linux-a2mv2-standard</v>
      </c>
      <c r="I11" s="18">
        <f>getVMPriceHour(H11,$A$6,$A$8,$A$10)*$A$12</f>
        <v>85.569650999999993</v>
      </c>
      <c r="J11" s="14" t="str">
        <f t="shared" si="3"/>
        <v>windows-b4ms-standard</v>
      </c>
      <c r="K11" s="14" t="e">
        <f>getVMPriceHour(H11,3,$A$8,$A$10)*$A$12</f>
        <v>#VALUE!</v>
      </c>
      <c r="L11" s="19" t="e">
        <f t="shared" si="5"/>
        <v>#VALUE!</v>
      </c>
      <c r="M11" s="10" t="str">
        <f t="shared" si="6"/>
        <v>2</v>
      </c>
      <c r="N11" s="10" t="str">
        <f t="shared" si="7"/>
        <v>2</v>
      </c>
      <c r="O11" s="14"/>
      <c r="Q11" s="9"/>
    </row>
    <row r="12" spans="1:17">
      <c r="A12" s="5">
        <v>730</v>
      </c>
      <c r="C12" s="5" t="str">
        <f t="shared" si="1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4" t="str">
        <f t="shared" si="0"/>
        <v>linux-b4ms-standard</v>
      </c>
      <c r="I12" s="18">
        <f t="shared" si="2"/>
        <v>112.04083799999999</v>
      </c>
      <c r="J12" s="14" t="str">
        <f t="shared" si="3"/>
        <v>windows-b4ms-standard</v>
      </c>
      <c r="K12" s="14">
        <f t="shared" si="4"/>
        <v>54.296713799999999</v>
      </c>
      <c r="L12" s="19">
        <f t="shared" si="5"/>
        <v>57.744124199999995</v>
      </c>
      <c r="M12" s="10" t="str">
        <f t="shared" si="6"/>
        <v>4</v>
      </c>
      <c r="N12" s="10" t="str">
        <f t="shared" si="7"/>
        <v>4</v>
      </c>
      <c r="O12" s="14"/>
      <c r="Q12" s="9"/>
    </row>
    <row r="13" spans="1:17">
      <c r="C13" s="5" t="str">
        <f t="shared" si="1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4" t="str">
        <f t="shared" si="0"/>
        <v>linux-b4ms-standard</v>
      </c>
      <c r="I13" s="18">
        <f t="shared" si="2"/>
        <v>112.04083799999999</v>
      </c>
      <c r="J13" s="14" t="str">
        <f t="shared" si="3"/>
        <v>windows-b4ms-standard</v>
      </c>
      <c r="K13" s="14">
        <f t="shared" si="4"/>
        <v>54.296713799999999</v>
      </c>
      <c r="L13" s="19">
        <f t="shared" si="5"/>
        <v>57.744124199999995</v>
      </c>
      <c r="M13" s="10" t="str">
        <f t="shared" si="6"/>
        <v>4</v>
      </c>
      <c r="N13" s="10" t="str">
        <f t="shared" si="7"/>
        <v>4</v>
      </c>
      <c r="O13" s="14"/>
      <c r="Q13" s="9"/>
    </row>
    <row r="14" spans="1:17">
      <c r="C14" s="5" t="str">
        <f t="shared" si="1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4" t="str">
        <f t="shared" si="0"/>
        <v>linux-b4ms-standard</v>
      </c>
      <c r="I14" s="18">
        <f t="shared" si="2"/>
        <v>112.04083799999999</v>
      </c>
      <c r="J14" s="14" t="str">
        <f t="shared" si="3"/>
        <v>windows-b4ms-standard</v>
      </c>
      <c r="K14" s="14">
        <f t="shared" si="4"/>
        <v>54.296713799999999</v>
      </c>
      <c r="L14" s="19">
        <f t="shared" si="5"/>
        <v>57.744124199999995</v>
      </c>
      <c r="M14" s="10" t="str">
        <f t="shared" si="6"/>
        <v>4</v>
      </c>
      <c r="N14" s="10" t="str">
        <f t="shared" si="7"/>
        <v>4</v>
      </c>
      <c r="O14" s="14"/>
      <c r="Q14" s="9"/>
    </row>
    <row r="15" spans="1:17">
      <c r="C15" s="5" t="str">
        <f t="shared" si="1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4" t="str">
        <f t="shared" si="0"/>
        <v>linux-b4ms-standard</v>
      </c>
      <c r="I15" s="18">
        <f t="shared" si="2"/>
        <v>112.04083799999999</v>
      </c>
      <c r="J15" s="14" t="str">
        <f t="shared" si="3"/>
        <v>windows-b4ms-standard</v>
      </c>
      <c r="K15" s="14">
        <f t="shared" si="4"/>
        <v>54.296713799999999</v>
      </c>
      <c r="L15" s="19">
        <f t="shared" si="5"/>
        <v>57.744124199999995</v>
      </c>
      <c r="M15" s="10" t="str">
        <f t="shared" si="6"/>
        <v>4</v>
      </c>
      <c r="N15" s="10" t="str">
        <f t="shared" si="7"/>
        <v>4</v>
      </c>
      <c r="O15" s="14"/>
      <c r="Q15" s="9"/>
    </row>
    <row r="16" spans="1:17">
      <c r="C16" s="5" t="str">
        <f t="shared" si="1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4" t="str">
        <f t="shared" si="0"/>
        <v>linux-e4v3-standard</v>
      </c>
      <c r="I16" s="18">
        <f t="shared" si="2"/>
        <v>173.60173800000001</v>
      </c>
      <c r="J16" s="14" t="str">
        <f t="shared" si="3"/>
        <v>windows-b8ms-standard</v>
      </c>
      <c r="K16" s="14">
        <f t="shared" si="4"/>
        <v>68.609623049999996</v>
      </c>
      <c r="L16" s="19">
        <f t="shared" si="5"/>
        <v>104.99211495000002</v>
      </c>
      <c r="M16" s="10" t="str">
        <f t="shared" si="6"/>
        <v>4</v>
      </c>
      <c r="N16" s="10" t="str">
        <f t="shared" si="7"/>
        <v>4</v>
      </c>
      <c r="O16" s="14"/>
      <c r="Q16" s="9"/>
    </row>
    <row r="17" spans="3:17">
      <c r="C17" s="5" t="str">
        <f t="shared" si="1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4" t="str">
        <f t="shared" si="0"/>
        <v>linux-b8ms-standard</v>
      </c>
      <c r="I17" s="18">
        <f t="shared" si="2"/>
        <v>224.08167599999999</v>
      </c>
      <c r="J17" s="14" t="str">
        <f t="shared" si="3"/>
        <v>windows-b8ms-standard</v>
      </c>
      <c r="K17" s="14">
        <f t="shared" si="4"/>
        <v>108.57495932999998</v>
      </c>
      <c r="L17" s="19">
        <f t="shared" si="5"/>
        <v>115.50671667</v>
      </c>
      <c r="M17" s="10" t="str">
        <f t="shared" si="6"/>
        <v>8</v>
      </c>
      <c r="N17" s="10" t="str">
        <f t="shared" si="7"/>
        <v>8</v>
      </c>
      <c r="O17" s="14"/>
      <c r="Q17" s="9"/>
    </row>
    <row r="18" spans="3:17">
      <c r="C18" s="5" t="str">
        <f t="shared" si="1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4" t="str">
        <f t="shared" si="0"/>
        <v>linux-b8ms-standard</v>
      </c>
      <c r="I18" s="18">
        <f t="shared" si="2"/>
        <v>224.08167599999999</v>
      </c>
      <c r="J18" s="14" t="str">
        <f t="shared" si="3"/>
        <v>windows-b8ms-standard</v>
      </c>
      <c r="K18" s="14">
        <f t="shared" si="4"/>
        <v>108.57495932999998</v>
      </c>
      <c r="L18" s="19">
        <f t="shared" si="5"/>
        <v>115.50671667</v>
      </c>
      <c r="M18" s="10" t="str">
        <f t="shared" si="6"/>
        <v>8</v>
      </c>
      <c r="N18" s="10" t="str">
        <f t="shared" si="7"/>
        <v>8</v>
      </c>
      <c r="O18" s="14"/>
      <c r="Q18" s="9"/>
    </row>
    <row r="19" spans="3:17">
      <c r="C19" s="5" t="str">
        <f t="shared" si="1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4" t="str">
        <f t="shared" si="0"/>
        <v>linux-b8ms-standard</v>
      </c>
      <c r="I19" s="18">
        <f t="shared" si="2"/>
        <v>224.08167599999999</v>
      </c>
      <c r="J19" s="14" t="str">
        <f t="shared" si="3"/>
        <v>windows-b8ms-standard</v>
      </c>
      <c r="K19" s="14">
        <f t="shared" si="4"/>
        <v>108.57495932999998</v>
      </c>
      <c r="L19" s="19">
        <f t="shared" si="5"/>
        <v>115.50671667</v>
      </c>
      <c r="M19" s="10" t="str">
        <f t="shared" si="6"/>
        <v>8</v>
      </c>
      <c r="N19" s="10" t="str">
        <f t="shared" si="7"/>
        <v>8</v>
      </c>
      <c r="O19" s="14"/>
      <c r="Q19" s="9"/>
    </row>
    <row r="20" spans="3:17">
      <c r="C20" s="5" t="str">
        <f t="shared" si="1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4" t="str">
        <f t="shared" si="0"/>
        <v>linux-b8ms-standard</v>
      </c>
      <c r="I20" s="18">
        <f t="shared" si="2"/>
        <v>224.08167599999999</v>
      </c>
      <c r="J20" s="14" t="str">
        <f t="shared" si="3"/>
        <v>windows-b8ms-standard</v>
      </c>
      <c r="K20" s="14">
        <f t="shared" si="4"/>
        <v>108.57495932999998</v>
      </c>
      <c r="L20" s="19">
        <f t="shared" si="5"/>
        <v>115.50671667</v>
      </c>
      <c r="M20" s="10" t="str">
        <f t="shared" si="6"/>
        <v>8</v>
      </c>
      <c r="N20" s="10" t="str">
        <f t="shared" si="7"/>
        <v>8</v>
      </c>
      <c r="O20" s="14"/>
      <c r="Q20" s="9"/>
    </row>
    <row r="21" spans="3:17">
      <c r="C21" s="5" t="str">
        <f t="shared" si="1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4" t="str">
        <f t="shared" si="0"/>
        <v>linux-b8ms-standard</v>
      </c>
      <c r="I21" s="18">
        <f t="shared" si="2"/>
        <v>224.08167599999999</v>
      </c>
      <c r="J21" s="14" t="str">
        <f t="shared" si="3"/>
        <v>windows-b8ms-standard</v>
      </c>
      <c r="K21" s="14">
        <f t="shared" si="4"/>
        <v>108.57495932999998</v>
      </c>
      <c r="L21" s="19">
        <f t="shared" si="5"/>
        <v>115.50671667</v>
      </c>
      <c r="M21" s="10" t="str">
        <f t="shared" si="6"/>
        <v>8</v>
      </c>
      <c r="N21" s="10" t="str">
        <f t="shared" si="7"/>
        <v>8</v>
      </c>
      <c r="O21" s="14"/>
      <c r="Q21" s="9"/>
    </row>
    <row r="22" spans="3:17">
      <c r="C22" s="5" t="str">
        <f t="shared" si="1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4" t="str">
        <f t="shared" si="0"/>
        <v>linux-e8v3-standard</v>
      </c>
      <c r="I22" s="18">
        <f t="shared" si="2"/>
        <v>347.20347600000002</v>
      </c>
      <c r="J22" s="14" t="str">
        <f t="shared" si="3"/>
        <v>windows-a8mv2-standard</v>
      </c>
      <c r="K22" s="14">
        <f t="shared" si="4"/>
        <v>137.22540219000001</v>
      </c>
      <c r="L22" s="19">
        <f t="shared" si="5"/>
        <v>209.97807381000001</v>
      </c>
      <c r="M22" s="10" t="str">
        <f t="shared" si="6"/>
        <v>8</v>
      </c>
      <c r="N22" s="10" t="str">
        <f t="shared" si="7"/>
        <v>8</v>
      </c>
      <c r="O22" s="14"/>
      <c r="Q22" s="9"/>
    </row>
    <row r="23" spans="3:17">
      <c r="C23" s="5" t="str">
        <f t="shared" si="1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4" t="str">
        <f t="shared" si="0"/>
        <v>linux-e16v3-standard</v>
      </c>
      <c r="I23" s="18">
        <f t="shared" si="2"/>
        <v>694.40695200000005</v>
      </c>
      <c r="J23" s="14" t="str">
        <f>getVM(D23,E23,$A$6,$A$8,$A$10,"","windows")</f>
        <v>windows-e16v3-standard</v>
      </c>
      <c r="K23" s="14">
        <f t="shared" si="4"/>
        <v>274.42618002</v>
      </c>
      <c r="L23" s="19">
        <f t="shared" si="5"/>
        <v>419.98077198000004</v>
      </c>
      <c r="M23" s="10" t="str">
        <f t="shared" si="6"/>
        <v>16</v>
      </c>
      <c r="N23" s="10" t="str">
        <f t="shared" si="7"/>
        <v>16</v>
      </c>
      <c r="O23" s="14"/>
      <c r="Q23" s="9"/>
    </row>
    <row r="24" spans="3:17">
      <c r="C24" s="5" t="str">
        <f t="shared" si="1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4" t="str">
        <f t="shared" si="0"/>
        <v>linux-e32v3-standard</v>
      </c>
      <c r="I24" s="18">
        <f t="shared" si="2"/>
        <v>1388.8139040000001</v>
      </c>
      <c r="J24" s="14" t="str">
        <f t="shared" si="3"/>
        <v>windows-e32v3-standard</v>
      </c>
      <c r="K24" s="14">
        <f t="shared" si="4"/>
        <v>548.84620395000002</v>
      </c>
      <c r="L24" s="19">
        <f t="shared" si="5"/>
        <v>839.96770005000008</v>
      </c>
      <c r="M24" s="10" t="str">
        <f t="shared" si="6"/>
        <v>32</v>
      </c>
      <c r="N24" s="10" t="str">
        <f t="shared" si="7"/>
        <v>32</v>
      </c>
      <c r="O24" s="14"/>
      <c r="Q24" s="9"/>
    </row>
    <row r="25" spans="3:17">
      <c r="C25" s="5" t="str">
        <f t="shared" si="1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4" t="str">
        <f t="shared" si="0"/>
        <v>linux-d16v3-standard</v>
      </c>
      <c r="I25" s="18">
        <f t="shared" si="2"/>
        <v>526.96130399999993</v>
      </c>
      <c r="J25" s="14" t="str">
        <f t="shared" si="3"/>
        <v>windows-d16v3-standard</v>
      </c>
      <c r="K25" s="14">
        <f t="shared" si="4"/>
        <v>227.78764218000001</v>
      </c>
      <c r="L25" s="19">
        <f t="shared" si="5"/>
        <v>299.17366181999989</v>
      </c>
      <c r="M25" s="10" t="str">
        <f t="shared" si="6"/>
        <v>16</v>
      </c>
      <c r="N25" s="10" t="str">
        <f t="shared" si="7"/>
        <v>16</v>
      </c>
      <c r="O25" s="14"/>
      <c r="Q25" s="9"/>
    </row>
    <row r="26" spans="3:17">
      <c r="C26" s="5" t="str">
        <f t="shared" si="1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4" t="str">
        <f t="shared" si="0"/>
        <v>linux-e16v3-standard</v>
      </c>
      <c r="I26" s="18">
        <f t="shared" si="2"/>
        <v>694.40695200000005</v>
      </c>
      <c r="J26" s="14" t="str">
        <f t="shared" si="3"/>
        <v>windows-e16v3-standard</v>
      </c>
      <c r="K26" s="14">
        <f t="shared" si="4"/>
        <v>274.42618002</v>
      </c>
      <c r="L26" s="19">
        <f t="shared" si="5"/>
        <v>419.98077198000004</v>
      </c>
      <c r="M26" s="10" t="str">
        <f t="shared" si="6"/>
        <v>16</v>
      </c>
      <c r="N26" s="10" t="str">
        <f t="shared" si="7"/>
        <v>16</v>
      </c>
      <c r="O26" s="14"/>
      <c r="Q26" s="9"/>
    </row>
    <row r="27" spans="3:17">
      <c r="C27" s="5" t="str">
        <f t="shared" si="1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4" t="str">
        <f t="shared" si="0"/>
        <v>linux-e32v3-standard</v>
      </c>
      <c r="I27" s="18">
        <f t="shared" si="2"/>
        <v>1388.8139040000001</v>
      </c>
      <c r="J27" s="14" t="str">
        <f t="shared" si="3"/>
        <v>windows-e32v3-standard</v>
      </c>
      <c r="K27" s="14">
        <f t="shared" si="4"/>
        <v>548.84620395000002</v>
      </c>
      <c r="L27" s="19">
        <f t="shared" si="5"/>
        <v>839.96770005000008</v>
      </c>
      <c r="M27" s="10" t="str">
        <f t="shared" si="6"/>
        <v>32</v>
      </c>
      <c r="N27" s="10" t="str">
        <f t="shared" si="7"/>
        <v>32</v>
      </c>
      <c r="O27" s="14"/>
      <c r="Q27" s="9"/>
    </row>
    <row r="28" spans="3:17">
      <c r="C28" s="5" t="str">
        <f t="shared" si="1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4" t="str">
        <f t="shared" si="0"/>
        <v>linux-m64ls-standard</v>
      </c>
      <c r="I28" s="18">
        <f t="shared" si="2"/>
        <v>3700.2102358500001</v>
      </c>
      <c r="J28" s="14" t="str">
        <f t="shared" si="3"/>
        <v>windows-m64ls-standard</v>
      </c>
      <c r="K28" s="14">
        <f t="shared" si="4"/>
        <v>1035.19578222</v>
      </c>
      <c r="L28" s="19">
        <f t="shared" si="5"/>
        <v>2665.0144536300004</v>
      </c>
      <c r="M28" s="10" t="str">
        <f t="shared" si="6"/>
        <v>64</v>
      </c>
      <c r="N28" s="10" t="str">
        <f t="shared" si="7"/>
        <v>64</v>
      </c>
      <c r="O28" s="14"/>
      <c r="Q28" s="9"/>
    </row>
    <row r="29" spans="3:17">
      <c r="C29" s="5" t="str">
        <f t="shared" si="1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4" t="str">
        <f t="shared" si="0"/>
        <v>linux-m64-standard</v>
      </c>
      <c r="I29" s="18">
        <f t="shared" si="2"/>
        <v>4926.7188270000006</v>
      </c>
      <c r="J29" s="14" t="str">
        <f t="shared" si="3"/>
        <v>windows-m64-standard</v>
      </c>
      <c r="K29" s="14">
        <f t="shared" si="4"/>
        <v>1374.58102392</v>
      </c>
      <c r="L29" s="19">
        <f t="shared" si="5"/>
        <v>3552.1378030800006</v>
      </c>
      <c r="M29" s="10" t="str">
        <f t="shared" si="6"/>
        <v>64</v>
      </c>
      <c r="N29" s="10" t="str">
        <f t="shared" si="7"/>
        <v>64</v>
      </c>
      <c r="O29" s="14"/>
      <c r="Q29" s="9"/>
    </row>
    <row r="30" spans="3:17">
      <c r="C30" s="5" t="str">
        <f t="shared" si="1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4" t="str">
        <f t="shared" si="0"/>
        <v>linux-f32sv2-standard</v>
      </c>
      <c r="I30" s="18">
        <f t="shared" si="2"/>
        <v>945.575424</v>
      </c>
      <c r="J30" s="14" t="str">
        <f t="shared" si="3"/>
        <v>windows-f32sv2-standard</v>
      </c>
      <c r="K30" s="14">
        <f t="shared" si="4"/>
        <v>341.16435171000001</v>
      </c>
      <c r="L30" s="19">
        <f t="shared" si="5"/>
        <v>604.41107228999999</v>
      </c>
      <c r="M30" s="10" t="str">
        <f t="shared" si="6"/>
        <v>32</v>
      </c>
      <c r="N30" s="10" t="str">
        <f t="shared" si="7"/>
        <v>32</v>
      </c>
      <c r="O30" s="14"/>
      <c r="Q30" s="9"/>
    </row>
    <row r="31" spans="3:17">
      <c r="C31" s="5" t="str">
        <f t="shared" si="1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4" t="str">
        <f t="shared" si="0"/>
        <v>linux-f32sv2-standard</v>
      </c>
      <c r="I31" s="18">
        <f t="shared" si="2"/>
        <v>945.575424</v>
      </c>
      <c r="J31" s="14" t="str">
        <f t="shared" si="3"/>
        <v>windows-f32sv2-standard</v>
      </c>
      <c r="K31" s="14">
        <f t="shared" si="4"/>
        <v>341.16435171000001</v>
      </c>
      <c r="L31" s="19">
        <f t="shared" si="5"/>
        <v>604.41107228999999</v>
      </c>
      <c r="M31" s="10" t="str">
        <f t="shared" si="6"/>
        <v>32</v>
      </c>
      <c r="N31" s="10" t="str">
        <f t="shared" si="7"/>
        <v>32</v>
      </c>
      <c r="O31" s="14"/>
      <c r="Q31" s="9"/>
    </row>
    <row r="32" spans="3:17">
      <c r="C32" s="5" t="str">
        <f t="shared" si="1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4" t="str">
        <f t="shared" si="0"/>
        <v>linux-f32sv2-standard</v>
      </c>
      <c r="I32" s="18">
        <f t="shared" si="2"/>
        <v>945.575424</v>
      </c>
      <c r="J32" s="14" t="str">
        <f t="shared" si="3"/>
        <v>windows-f32sv2-standard</v>
      </c>
      <c r="K32" s="14">
        <f t="shared" si="4"/>
        <v>341.16435171000001</v>
      </c>
      <c r="L32" s="19">
        <f t="shared" si="5"/>
        <v>604.41107228999999</v>
      </c>
      <c r="M32" s="10" t="str">
        <f t="shared" si="6"/>
        <v>32</v>
      </c>
      <c r="N32" s="10" t="str">
        <f t="shared" si="7"/>
        <v>32</v>
      </c>
      <c r="O32" s="14"/>
      <c r="Q32" s="9"/>
    </row>
    <row r="33" spans="3:17">
      <c r="C33" s="5" t="str">
        <f t="shared" si="1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4" t="str">
        <f t="shared" si="0"/>
        <v>linux-f32sv2-standard</v>
      </c>
      <c r="I33" s="18">
        <f t="shared" si="2"/>
        <v>945.575424</v>
      </c>
      <c r="J33" s="14" t="str">
        <f t="shared" si="3"/>
        <v>windows-f32sv2-standard</v>
      </c>
      <c r="K33" s="14">
        <f t="shared" si="4"/>
        <v>341.16435171000001</v>
      </c>
      <c r="L33" s="19">
        <f t="shared" si="5"/>
        <v>604.41107228999999</v>
      </c>
      <c r="M33" s="10" t="str">
        <f t="shared" si="6"/>
        <v>32</v>
      </c>
      <c r="N33" s="10" t="str">
        <f t="shared" si="7"/>
        <v>32</v>
      </c>
      <c r="O33" s="14"/>
      <c r="Q33" s="9"/>
    </row>
    <row r="34" spans="3:17">
      <c r="C34" s="5" t="str">
        <f t="shared" si="1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4" t="str">
        <f t="shared" si="0"/>
        <v>linux-f32sv2-standard</v>
      </c>
      <c r="I34" s="18">
        <f t="shared" si="2"/>
        <v>945.575424</v>
      </c>
      <c r="J34" s="14" t="str">
        <f t="shared" si="3"/>
        <v>windows-f32sv2-standard</v>
      </c>
      <c r="K34" s="14">
        <f t="shared" si="4"/>
        <v>341.16435171000001</v>
      </c>
      <c r="L34" s="19">
        <f t="shared" si="5"/>
        <v>604.41107228999999</v>
      </c>
      <c r="M34" s="10" t="str">
        <f t="shared" si="6"/>
        <v>32</v>
      </c>
      <c r="N34" s="10" t="str">
        <f t="shared" si="7"/>
        <v>32</v>
      </c>
      <c r="O34" s="14"/>
      <c r="Q34" s="9"/>
    </row>
    <row r="35" spans="3:17">
      <c r="C35" s="5" t="str">
        <f t="shared" si="1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4" t="str">
        <f t="shared" si="0"/>
        <v>linux-f32sv2-standard</v>
      </c>
      <c r="I35" s="18">
        <f t="shared" si="2"/>
        <v>945.575424</v>
      </c>
      <c r="J35" s="14" t="str">
        <f t="shared" si="3"/>
        <v>windows-f32sv2-standard</v>
      </c>
      <c r="K35" s="14">
        <f t="shared" si="4"/>
        <v>341.16435171000001</v>
      </c>
      <c r="L35" s="19">
        <f t="shared" si="5"/>
        <v>604.41107228999999</v>
      </c>
      <c r="M35" s="10" t="str">
        <f t="shared" si="6"/>
        <v>32</v>
      </c>
      <c r="N35" s="10" t="str">
        <f t="shared" si="7"/>
        <v>32</v>
      </c>
      <c r="O35" s="14"/>
      <c r="Q35" s="9"/>
    </row>
    <row r="36" spans="3:17">
      <c r="C36" s="5" t="str">
        <f t="shared" si="1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4" t="str">
        <f t="shared" si="0"/>
        <v>linux-d32v3-standard</v>
      </c>
      <c r="I36" s="18">
        <f t="shared" si="2"/>
        <v>1053.9226079999999</v>
      </c>
      <c r="J36" s="14" t="str">
        <f t="shared" si="3"/>
        <v>windows-d32v3-standard</v>
      </c>
      <c r="K36" s="14">
        <f t="shared" si="4"/>
        <v>455.56912827000002</v>
      </c>
      <c r="L36" s="19">
        <f t="shared" si="5"/>
        <v>598.35347972999989</v>
      </c>
      <c r="M36" s="10" t="str">
        <f t="shared" si="6"/>
        <v>32</v>
      </c>
      <c r="N36" s="10" t="str">
        <f t="shared" si="7"/>
        <v>32</v>
      </c>
      <c r="O36" s="14"/>
      <c r="Q36" s="9"/>
    </row>
    <row r="37" spans="3:17">
      <c r="C37" s="5" t="str">
        <f t="shared" si="1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4" t="str">
        <f t="shared" si="0"/>
        <v>linux-e32v3-standard</v>
      </c>
      <c r="I37" s="18">
        <f t="shared" si="2"/>
        <v>1388.8139040000001</v>
      </c>
      <c r="J37" s="14" t="str">
        <f t="shared" si="3"/>
        <v>windows-e32v3-standard</v>
      </c>
      <c r="K37" s="14">
        <f t="shared" si="4"/>
        <v>548.84620395000002</v>
      </c>
      <c r="L37" s="19">
        <f t="shared" si="5"/>
        <v>839.96770005000008</v>
      </c>
      <c r="M37" s="10" t="str">
        <f t="shared" si="6"/>
        <v>32</v>
      </c>
      <c r="N37" s="10" t="str">
        <f t="shared" si="7"/>
        <v>32</v>
      </c>
      <c r="O37" s="14"/>
      <c r="Q37" s="9"/>
    </row>
    <row r="38" spans="3:17">
      <c r="C38" s="5" t="str">
        <f t="shared" si="1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4" t="str">
        <f t="shared" si="0"/>
        <v>linux-f64sv2-standard</v>
      </c>
      <c r="I38" s="18">
        <f t="shared" si="2"/>
        <v>1891.150848</v>
      </c>
      <c r="J38" s="14" t="str">
        <f t="shared" si="3"/>
        <v>windows-f64sv2-standard</v>
      </c>
      <c r="K38" s="14">
        <f t="shared" si="4"/>
        <v>682.32254733000002</v>
      </c>
      <c r="L38" s="19">
        <f t="shared" si="5"/>
        <v>1208.8283006699999</v>
      </c>
      <c r="M38" s="10" t="str">
        <f t="shared" si="6"/>
        <v>64</v>
      </c>
      <c r="N38" s="10" t="str">
        <f t="shared" si="7"/>
        <v>64</v>
      </c>
      <c r="O38" s="14"/>
      <c r="Q38" s="9"/>
    </row>
    <row r="39" spans="3:17">
      <c r="C39" s="5" t="str">
        <f t="shared" si="1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4" t="str">
        <f t="shared" si="0"/>
        <v>linux-d64v3-standard</v>
      </c>
      <c r="I39" s="18">
        <f t="shared" si="2"/>
        <v>2107.8452159999997</v>
      </c>
      <c r="J39" s="14" t="str">
        <f t="shared" si="3"/>
        <v>windows-d64v3-standard</v>
      </c>
      <c r="K39" s="14">
        <f t="shared" si="4"/>
        <v>911.13825654000004</v>
      </c>
      <c r="L39" s="19">
        <f t="shared" si="5"/>
        <v>1196.7069594599998</v>
      </c>
      <c r="M39" s="10" t="str">
        <f t="shared" si="6"/>
        <v>64</v>
      </c>
      <c r="N39" s="10" t="str">
        <f t="shared" si="7"/>
        <v>64</v>
      </c>
      <c r="O39" s="14"/>
      <c r="Q39" s="9"/>
    </row>
    <row r="40" spans="3:17">
      <c r="C40" s="5" t="str">
        <f t="shared" si="1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4" t="str">
        <f t="shared" si="0"/>
        <v>linux-m64ls-standard</v>
      </c>
      <c r="I40" s="18">
        <f t="shared" si="2"/>
        <v>3700.2102358500001</v>
      </c>
      <c r="J40" s="14" t="str">
        <f t="shared" si="3"/>
        <v>windows-m64ls-standard</v>
      </c>
      <c r="K40" s="14">
        <f t="shared" si="4"/>
        <v>1035.19578222</v>
      </c>
      <c r="L40" s="19">
        <f t="shared" si="5"/>
        <v>2665.0144536300004</v>
      </c>
      <c r="M40" s="10" t="str">
        <f t="shared" si="6"/>
        <v>64</v>
      </c>
      <c r="N40" s="10" t="str">
        <f t="shared" si="7"/>
        <v>64</v>
      </c>
      <c r="O40" s="14"/>
      <c r="Q40" s="9"/>
    </row>
    <row r="41" spans="3:17">
      <c r="C41" s="5" t="str">
        <f t="shared" si="1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4" t="str">
        <f t="shared" si="0"/>
        <v>linux-m64-standard</v>
      </c>
      <c r="I41" s="18">
        <f t="shared" si="2"/>
        <v>4926.7188270000006</v>
      </c>
      <c r="J41" s="14" t="str">
        <f t="shared" si="3"/>
        <v>windows-m64-standard</v>
      </c>
      <c r="K41" s="14">
        <f t="shared" si="4"/>
        <v>1374.58102392</v>
      </c>
      <c r="L41" s="19">
        <f t="shared" si="5"/>
        <v>3552.1378030800006</v>
      </c>
      <c r="M41" s="10" t="str">
        <f t="shared" si="6"/>
        <v>64</v>
      </c>
      <c r="N41" s="10" t="str">
        <f t="shared" si="7"/>
        <v>64</v>
      </c>
      <c r="O41" s="14"/>
      <c r="Q41" s="9"/>
    </row>
    <row r="42" spans="3:17">
      <c r="C42" s="5" t="str">
        <f t="shared" si="1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4" t="str">
        <f t="shared" si="0"/>
        <v>linux-m128-standard</v>
      </c>
      <c r="I42" s="18">
        <f t="shared" si="2"/>
        <v>9853.4376540000012</v>
      </c>
      <c r="J42" s="14" t="str">
        <f t="shared" si="3"/>
        <v>windows-m128-standard</v>
      </c>
      <c r="K42" s="14">
        <f t="shared" si="4"/>
        <v>2749.1558917500001</v>
      </c>
      <c r="L42" s="19">
        <f t="shared" si="5"/>
        <v>7104.2817622500006</v>
      </c>
      <c r="M42" s="10" t="str">
        <f t="shared" si="6"/>
        <v>128</v>
      </c>
      <c r="N42" s="10" t="str">
        <f t="shared" si="7"/>
        <v>128</v>
      </c>
      <c r="O42" s="14"/>
      <c r="Q42" s="9"/>
    </row>
    <row r="43" spans="3:17">
      <c r="C43" s="5" t="str">
        <f t="shared" si="1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4" t="str">
        <f t="shared" si="0"/>
        <v>linux-m128m-standard</v>
      </c>
      <c r="I43" s="18">
        <f t="shared" si="2"/>
        <v>19715.247590399998</v>
      </c>
      <c r="J43" s="14" t="str">
        <f t="shared" si="3"/>
        <v>windows-m128m-standard</v>
      </c>
      <c r="K43" s="14">
        <f t="shared" si="4"/>
        <v>5515.60424031</v>
      </c>
      <c r="L43" s="19">
        <f t="shared" si="5"/>
        <v>14199.643350089998</v>
      </c>
      <c r="M43" s="10" t="str">
        <f t="shared" si="6"/>
        <v>128</v>
      </c>
      <c r="N43" s="10" t="str">
        <f t="shared" si="7"/>
        <v>128</v>
      </c>
      <c r="O43" s="14"/>
      <c r="Q43" s="9"/>
    </row>
    <row r="44" spans="3:17">
      <c r="C44" s="5" t="str">
        <f t="shared" si="1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4" t="str">
        <f t="shared" si="0"/>
        <v>linux-m128-standard</v>
      </c>
      <c r="I44" s="18">
        <f t="shared" si="2"/>
        <v>9853.4376540000012</v>
      </c>
      <c r="J44" s="14" t="str">
        <f t="shared" si="3"/>
        <v>windows-m128-standard</v>
      </c>
      <c r="K44" s="14">
        <f t="shared" si="4"/>
        <v>2749.1558917500001</v>
      </c>
      <c r="L44" s="19">
        <f t="shared" si="5"/>
        <v>7104.2817622500006</v>
      </c>
      <c r="M44" s="10" t="str">
        <f t="shared" si="6"/>
        <v>128</v>
      </c>
      <c r="N44" s="10" t="str">
        <f t="shared" si="7"/>
        <v>128</v>
      </c>
      <c r="O44" s="14"/>
      <c r="Q44" s="9"/>
    </row>
    <row r="45" spans="3:17">
      <c r="C45" s="5" t="str">
        <f t="shared" si="1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4" t="str">
        <f t="shared" si="0"/>
        <v>linux-m128-standard</v>
      </c>
      <c r="I45" s="18">
        <f t="shared" si="2"/>
        <v>9853.4376540000012</v>
      </c>
      <c r="J45" s="14" t="str">
        <f t="shared" si="3"/>
        <v>windows-m128-standard</v>
      </c>
      <c r="K45" s="14">
        <f t="shared" si="4"/>
        <v>2749.1558917500001</v>
      </c>
      <c r="L45" s="19">
        <f t="shared" si="5"/>
        <v>7104.2817622500006</v>
      </c>
      <c r="M45" s="10" t="str">
        <f t="shared" si="6"/>
        <v>128</v>
      </c>
      <c r="N45" s="10" t="str">
        <f t="shared" si="7"/>
        <v>128</v>
      </c>
      <c r="O45" s="14"/>
      <c r="Q45" s="9"/>
    </row>
    <row r="46" spans="3:17">
      <c r="C46" s="5" t="str">
        <f t="shared" si="1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4" t="str">
        <f t="shared" si="0"/>
        <v>linux-m128-standard</v>
      </c>
      <c r="I46" s="18">
        <f t="shared" si="2"/>
        <v>9853.4376540000012</v>
      </c>
      <c r="J46" s="14" t="str">
        <f t="shared" si="3"/>
        <v>windows-m128-standard</v>
      </c>
      <c r="K46" s="14">
        <f t="shared" si="4"/>
        <v>2749.1558917500001</v>
      </c>
      <c r="L46" s="19">
        <f t="shared" si="5"/>
        <v>7104.2817622500006</v>
      </c>
      <c r="M46" s="10" t="str">
        <f t="shared" si="6"/>
        <v>128</v>
      </c>
      <c r="N46" s="10" t="str">
        <f t="shared" si="7"/>
        <v>128</v>
      </c>
      <c r="O46" s="14"/>
      <c r="Q46" s="9"/>
    </row>
    <row r="47" spans="3:17">
      <c r="C47" s="5" t="str">
        <f t="shared" si="1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4" t="str">
        <f t="shared" si="0"/>
        <v>linux-m128-standard</v>
      </c>
      <c r="I47" s="18">
        <f t="shared" si="2"/>
        <v>9853.4376540000012</v>
      </c>
      <c r="J47" s="14" t="str">
        <f t="shared" si="3"/>
        <v>windows-m128-standard</v>
      </c>
      <c r="K47" s="14">
        <f t="shared" si="4"/>
        <v>2749.1558917500001</v>
      </c>
      <c r="L47" s="19">
        <f t="shared" si="5"/>
        <v>7104.2817622500006</v>
      </c>
      <c r="M47" s="10" t="str">
        <f t="shared" si="6"/>
        <v>128</v>
      </c>
      <c r="N47" s="10" t="str">
        <f t="shared" si="7"/>
        <v>128</v>
      </c>
      <c r="O47" s="14"/>
      <c r="Q47" s="9"/>
    </row>
    <row r="48" spans="3:17">
      <c r="C48" s="5" t="str">
        <f t="shared" si="1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4" t="str">
        <f t="shared" si="0"/>
        <v>linux-m128-standard</v>
      </c>
      <c r="I48" s="18">
        <f t="shared" si="2"/>
        <v>9853.4376540000012</v>
      </c>
      <c r="J48" s="14" t="str">
        <f t="shared" si="3"/>
        <v>windows-m128-standard</v>
      </c>
      <c r="K48" s="14">
        <f t="shared" si="4"/>
        <v>2749.1558917500001</v>
      </c>
      <c r="L48" s="19">
        <f t="shared" si="5"/>
        <v>7104.2817622500006</v>
      </c>
      <c r="M48" s="10" t="str">
        <f t="shared" si="6"/>
        <v>128</v>
      </c>
      <c r="N48" s="10" t="str">
        <f t="shared" si="7"/>
        <v>128</v>
      </c>
      <c r="O48" s="14"/>
      <c r="Q48" s="9"/>
    </row>
    <row r="49" spans="3:18">
      <c r="C49" s="5" t="str">
        <f t="shared" si="1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4" t="str">
        <f t="shared" si="0"/>
        <v>linux-m128m-standard</v>
      </c>
      <c r="I49" s="18">
        <f t="shared" si="2"/>
        <v>19715.247590399998</v>
      </c>
      <c r="J49" s="14" t="str">
        <f t="shared" si="3"/>
        <v>windows-m128m-standard</v>
      </c>
      <c r="K49" s="14">
        <f t="shared" si="4"/>
        <v>5515.60424031</v>
      </c>
      <c r="L49" s="19">
        <f t="shared" si="5"/>
        <v>14199.643350089998</v>
      </c>
      <c r="M49" s="10" t="str">
        <f t="shared" si="6"/>
        <v>128</v>
      </c>
      <c r="N49" s="10" t="str">
        <f t="shared" si="7"/>
        <v>128</v>
      </c>
      <c r="O49" s="14"/>
      <c r="Q49" s="9"/>
    </row>
    <row r="50" spans="3:18">
      <c r="J50" s="6"/>
      <c r="K50" s="6"/>
      <c r="L50" s="6"/>
      <c r="M50" s="9"/>
      <c r="N50" s="9"/>
      <c r="P50" s="6"/>
      <c r="Q50" s="9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F21" sqref="F21"/>
    </sheetView>
  </sheetViews>
  <sheetFormatPr defaultRowHeight="14.5"/>
  <cols>
    <col min="2" max="2" width="14.1796875" customWidth="1"/>
    <col min="3" max="3" width="22.453125" customWidth="1"/>
    <col min="4" max="4" width="14.1796875" customWidth="1"/>
    <col min="6" max="6" width="28.7265625" customWidth="1"/>
  </cols>
  <sheetData>
    <row r="2" spans="1:14">
      <c r="H2" s="17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3" t="str">
        <f>getManagedDisk(B4,$A$4,$A$5)</f>
        <v>standardhdd-s4</v>
      </c>
      <c r="D4" s="13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122</v>
      </c>
      <c r="B5">
        <f t="shared" ref="B5:B11" si="1">B4*2</f>
        <v>64</v>
      </c>
      <c r="C5" s="13" t="str">
        <f t="shared" ref="C5:C10" si="2">getManagedDisk(B5,$A$4,$A$5)</f>
        <v>standardhdd-s6</v>
      </c>
      <c r="D5" s="13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3" t="str">
        <f t="shared" si="2"/>
        <v>standardhdd-s10</v>
      </c>
      <c r="D6" s="13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3" t="str">
        <f t="shared" si="2"/>
        <v>standardhdd-s15</v>
      </c>
      <c r="D7" s="13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3" t="str">
        <f t="shared" si="2"/>
        <v>standardhdd-s20</v>
      </c>
      <c r="D8" s="13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3" t="str">
        <f t="shared" si="2"/>
        <v>standardhdd-s30</v>
      </c>
      <c r="D9" s="13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3" t="str">
        <f t="shared" si="2"/>
        <v>standardhdd-s40</v>
      </c>
      <c r="D10" s="13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3" t="str">
        <f>getManagedDisk(B11,$A$4,$A$5,"-S60")</f>
        <v>standardhdd-s50</v>
      </c>
      <c r="D11" s="13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3" t="str">
        <f>getManagedDisk(B13,$A$4,$A$5,,"premium")</f>
        <v>premiumssd-p4</v>
      </c>
      <c r="D13" s="13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3" t="str">
        <f t="shared" ref="C14:C20" si="9">getManagedDisk(B14,$A$4,$A$5,,"premium")</f>
        <v>premiumssd-p6</v>
      </c>
      <c r="D14" s="13">
        <f t="shared" ref="D14:D19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3" t="str">
        <f t="shared" si="9"/>
        <v>premiumssd-p10</v>
      </c>
      <c r="D15" s="13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3" t="str">
        <f t="shared" si="9"/>
        <v>premiumssd-p15</v>
      </c>
      <c r="D16" s="13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3" t="str">
        <f t="shared" si="9"/>
        <v>premiumssd-p20</v>
      </c>
      <c r="D17" s="13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3" t="str">
        <f t="shared" si="9"/>
        <v>premiumssd-p30</v>
      </c>
      <c r="D18" s="13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3" t="str">
        <f t="shared" si="9"/>
        <v>premiumssd-p40</v>
      </c>
      <c r="D19" s="13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3" t="str">
        <f t="shared" si="9"/>
        <v>premiumssd-p50</v>
      </c>
      <c r="D20" s="13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15" t="str">
        <f>getManagedDisk(B21,$A$4,$A$5,,"premium")</f>
        <v>premiumssd-p70</v>
      </c>
      <c r="D21" s="15">
        <f>getManagedDiskPriceMonth(C21,$A$4,$A$5)</f>
        <v>1802.057</v>
      </c>
      <c r="E21" t="str">
        <f t="shared" ref="E21" si="11">getMDiskData(C21,$A$4,$A$5,"IOPS")</f>
        <v>15000</v>
      </c>
      <c r="F21" t="str">
        <f>getMDiskData($C21,$A$4,$A$5,F$3)</f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F11" sqref="F11"/>
    </sheetView>
  </sheetViews>
  <sheetFormatPr defaultRowHeight="14.5"/>
  <cols>
    <col min="1" max="1" width="17.1796875" customWidth="1"/>
    <col min="2" max="2" width="16.453125" customWidth="1"/>
    <col min="3" max="3" width="21.54296875" customWidth="1"/>
    <col min="4" max="4" width="24.1796875" bestFit="1" customWidth="1"/>
    <col min="5" max="5" width="24.54296875" bestFit="1" customWidth="1"/>
    <col min="6" max="6" width="20.1796875" customWidth="1"/>
    <col min="7" max="7" width="10.26953125" customWidth="1"/>
    <col min="8" max="8" width="16.81640625" customWidth="1"/>
    <col min="12" max="12" width="15.1796875" customWidth="1"/>
    <col min="13" max="13" width="16.453125" customWidth="1"/>
    <col min="14" max="15" width="15.453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3" t="str">
        <f>getVM(B7,C7,D7,E7,$E$5)</f>
        <v>linux-b1s-standard</v>
      </c>
      <c r="G7" s="16">
        <f>getVMPriceHour(F7,D7,E7,$E$5)</f>
        <v>3.8201490000000001E-3</v>
      </c>
      <c r="H7" s="1">
        <f t="shared" ref="H7:H10" si="0">G7*730</f>
        <v>2.7887087699999999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3" t="str">
        <f>getVM(B8,C8,D8,E8,$E$5)</f>
        <v>linux-hb60rs-standard</v>
      </c>
      <c r="G8" s="16">
        <f>getVMPriceHour(F8,D8,E8,$E$5)</f>
        <v>1.2497706</v>
      </c>
      <c r="H8" s="1">
        <f t="shared" si="0"/>
        <v>912.332538</v>
      </c>
      <c r="I8" t="str">
        <f t="shared" ref="I8:I10" si="1">getVMData($F8,$E8,$E$5,"isvcpu")</f>
        <v>False</v>
      </c>
      <c r="J8" t="str">
        <f t="shared" ref="J8:J10" si="2">getVMData($F8,$E8,$E$5,"cores")</f>
        <v>60</v>
      </c>
      <c r="K8" t="str">
        <f t="shared" ref="K8:K10" si="3">getVMData($F8,$E8,$E$5,"ram")</f>
        <v>240</v>
      </c>
    </row>
    <row r="9" spans="2:15">
      <c r="B9">
        <v>1</v>
      </c>
      <c r="C9">
        <v>20</v>
      </c>
      <c r="D9">
        <v>0</v>
      </c>
      <c r="E9" t="s">
        <v>9</v>
      </c>
      <c r="F9" s="13" t="str">
        <f>getVM(B9,C9,D9,E9,$E$5,"-a;promo")</f>
        <v>linux-e4v3-standard</v>
      </c>
      <c r="G9" s="16">
        <f>getVMPriceHour(F9,D9,E9,$E$5)</f>
        <v>0.21251159999999999</v>
      </c>
      <c r="H9" s="1">
        <f t="shared" si="0"/>
        <v>155.13346799999999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3" t="str">
        <f>getVM(B10,C10,D10,E10,$E$5,"","windows")</f>
        <v>windows-m128-standard</v>
      </c>
      <c r="G10" s="16">
        <f>getVMPriceHour(F10,D10,E10,$E$5)</f>
        <v>16.213285800000001</v>
      </c>
      <c r="H10" s="1">
        <f t="shared" si="0"/>
        <v>11835.698634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3" t="str">
        <f>getVM(B11,C11,D11,E11,$E$5,"-b")</f>
        <v>linux-d1v2-standard</v>
      </c>
      <c r="G11" s="16">
        <f>getVMPriceHour(F11,D11,E11,$E$5)</f>
        <v>2.378106E-2</v>
      </c>
      <c r="H11" s="1">
        <f t="shared" ref="H11" si="4">G11*730</f>
        <v>17.360173799999998</v>
      </c>
      <c r="I11" t="str">
        <f>getVMData($F11,$E11,$E$5,"isvcpu")</f>
        <v>True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3" t="str">
        <f>getManagedDisk(D17,$B$17,$E$5)</f>
        <v>standardhdd-s4</v>
      </c>
      <c r="F17" s="13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3" t="str">
        <f>getManagedDisk(D18,$B$17,$E$5)</f>
        <v>standardhdd-s10</v>
      </c>
      <c r="F18" s="13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3" t="str">
        <f>getManagedDisk(D19,$B$17,$E$5)</f>
        <v>standardhdd-s15</v>
      </c>
      <c r="F19" s="13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3" t="str">
        <f>getManagedDisk(D20,$B$17,$E$5)</f>
        <v>standardhdd-s20</v>
      </c>
      <c r="F20" s="13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3" t="str">
        <f>getManagedDisk(D21,$B$17,$E$5)</f>
        <v>standardhdd-s30</v>
      </c>
      <c r="F21" s="13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3" t="str">
        <f>getManagedDisk(D25,$B$17,$E$5,"","premium")</f>
        <v>premiumssd-p4</v>
      </c>
      <c r="F25" s="13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3" t="str">
        <f t="shared" ref="E26:E29" si="12">getManagedDisk(D26,$B$17,$E$5,"","premium")</f>
        <v>premiumssd-p10</v>
      </c>
      <c r="F26" s="13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3" t="str">
        <f t="shared" si="12"/>
        <v>premiumssd-p15</v>
      </c>
      <c r="F27" s="13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3" t="str">
        <f t="shared" si="12"/>
        <v>premiumssd-p20</v>
      </c>
      <c r="F28" s="13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3" t="str">
        <f t="shared" si="12"/>
        <v>premiumssd-p30</v>
      </c>
      <c r="F29" s="13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workbookViewId="0">
      <selection activeCell="D59" sqref="D59"/>
    </sheetView>
  </sheetViews>
  <sheetFormatPr defaultColWidth="8.7265625" defaultRowHeight="14.5"/>
  <cols>
    <col min="2" max="2" width="30.81640625" customWidth="1"/>
    <col min="3" max="4" width="24.81640625" bestFit="1" customWidth="1"/>
    <col min="5" max="5" width="17.81640625" bestFit="1" customWidth="1"/>
    <col min="6" max="6" width="42.54296875" bestFit="1" customWidth="1"/>
    <col min="7" max="7" width="27.26953125" customWidth="1"/>
    <col min="8" max="8" width="19" customWidth="1"/>
  </cols>
  <sheetData>
    <row r="3" spans="2:9" ht="26.5">
      <c r="B3" s="11" t="s">
        <v>96</v>
      </c>
      <c r="G3" s="11" t="s">
        <v>95</v>
      </c>
      <c r="H3" s="11" t="s">
        <v>3</v>
      </c>
      <c r="I3" s="11" t="s">
        <v>113</v>
      </c>
    </row>
    <row r="4" spans="2:9">
      <c r="G4" t="s">
        <v>64</v>
      </c>
      <c r="H4" t="s">
        <v>97</v>
      </c>
      <c r="I4" s="2" t="s">
        <v>98</v>
      </c>
    </row>
    <row r="5" spans="2:9">
      <c r="G5" t="s">
        <v>65</v>
      </c>
      <c r="H5" t="s">
        <v>99</v>
      </c>
      <c r="I5" s="2" t="s">
        <v>100</v>
      </c>
    </row>
    <row r="6" spans="2:9" ht="23.5">
      <c r="B6" s="11" t="s">
        <v>56</v>
      </c>
      <c r="G6" t="s">
        <v>66</v>
      </c>
      <c r="H6" t="s">
        <v>101</v>
      </c>
      <c r="I6" s="2" t="s">
        <v>102</v>
      </c>
    </row>
    <row r="7" spans="2:9" ht="21">
      <c r="B7" s="12" t="s">
        <v>42</v>
      </c>
      <c r="G7" t="s">
        <v>67</v>
      </c>
      <c r="H7" t="s">
        <v>103</v>
      </c>
      <c r="I7" s="2" t="s">
        <v>104</v>
      </c>
    </row>
    <row r="8" spans="2:9">
      <c r="B8" t="s">
        <v>55</v>
      </c>
      <c r="G8" t="s">
        <v>68</v>
      </c>
      <c r="H8" t="s">
        <v>105</v>
      </c>
      <c r="I8" s="2" t="s">
        <v>105</v>
      </c>
    </row>
    <row r="9" spans="2:9">
      <c r="B9" t="s">
        <v>54</v>
      </c>
      <c r="G9" t="s">
        <v>69</v>
      </c>
      <c r="H9" t="s">
        <v>106</v>
      </c>
      <c r="I9" s="2" t="s">
        <v>106</v>
      </c>
    </row>
    <row r="10" spans="2:9">
      <c r="B10" t="s">
        <v>57</v>
      </c>
      <c r="G10" t="s">
        <v>70</v>
      </c>
      <c r="H10" t="s">
        <v>107</v>
      </c>
      <c r="I10" s="2" t="s">
        <v>108</v>
      </c>
    </row>
    <row r="11" spans="2:9">
      <c r="G11" t="s">
        <v>71</v>
      </c>
      <c r="H11" t="s">
        <v>109</v>
      </c>
      <c r="I11" s="2" t="s">
        <v>110</v>
      </c>
    </row>
    <row r="12" spans="2:9">
      <c r="B12" s="2" t="s">
        <v>63</v>
      </c>
      <c r="G12" t="s">
        <v>72</v>
      </c>
      <c r="H12" t="s">
        <v>111</v>
      </c>
      <c r="I12" s="2" t="s">
        <v>112</v>
      </c>
    </row>
    <row r="13" spans="2:9">
      <c r="B13" s="3" t="s">
        <v>37</v>
      </c>
      <c r="C13" t="s">
        <v>43</v>
      </c>
      <c r="G13" t="s">
        <v>73</v>
      </c>
    </row>
    <row r="14" spans="2:9">
      <c r="B14" s="2" t="s">
        <v>35</v>
      </c>
      <c r="C14" t="s">
        <v>44</v>
      </c>
      <c r="G14" t="s">
        <v>74</v>
      </c>
    </row>
    <row r="15" spans="2:9">
      <c r="B15" s="2" t="s">
        <v>36</v>
      </c>
      <c r="C15" t="s">
        <v>45</v>
      </c>
      <c r="G15" t="s">
        <v>75</v>
      </c>
    </row>
    <row r="16" spans="2:9">
      <c r="B16" s="2" t="s">
        <v>38</v>
      </c>
      <c r="C16" t="s">
        <v>46</v>
      </c>
      <c r="G16" t="s">
        <v>20</v>
      </c>
    </row>
    <row r="17" spans="2:7">
      <c r="G17" t="s">
        <v>0</v>
      </c>
    </row>
    <row r="18" spans="2:7">
      <c r="G18" t="s">
        <v>76</v>
      </c>
    </row>
    <row r="19" spans="2:7">
      <c r="G19" t="s">
        <v>77</v>
      </c>
    </row>
    <row r="20" spans="2:7" ht="23.5">
      <c r="B20" s="11" t="s">
        <v>58</v>
      </c>
      <c r="G20" t="s">
        <v>78</v>
      </c>
    </row>
    <row r="21" spans="2:7">
      <c r="B21" t="s">
        <v>59</v>
      </c>
      <c r="G21" t="s">
        <v>79</v>
      </c>
    </row>
    <row r="22" spans="2:7">
      <c r="B22" t="s">
        <v>60</v>
      </c>
      <c r="G22" t="s">
        <v>80</v>
      </c>
    </row>
    <row r="23" spans="2:7">
      <c r="B23" t="s">
        <v>61</v>
      </c>
      <c r="G23" t="s">
        <v>81</v>
      </c>
    </row>
    <row r="24" spans="2:7">
      <c r="G24" t="s">
        <v>82</v>
      </c>
    </row>
    <row r="25" spans="2:7">
      <c r="B25" s="3" t="s">
        <v>62</v>
      </c>
      <c r="G25" t="s">
        <v>83</v>
      </c>
    </row>
    <row r="26" spans="2:7">
      <c r="B26" s="3" t="s">
        <v>41</v>
      </c>
      <c r="C26" t="s">
        <v>47</v>
      </c>
      <c r="G26" t="s">
        <v>84</v>
      </c>
    </row>
    <row r="27" spans="2:7">
      <c r="B27" s="2" t="s">
        <v>40</v>
      </c>
      <c r="C27" t="s">
        <v>48</v>
      </c>
      <c r="G27" t="s">
        <v>85</v>
      </c>
    </row>
    <row r="28" spans="2:7">
      <c r="B28" s="2" t="s">
        <v>39</v>
      </c>
      <c r="C28" t="s">
        <v>49</v>
      </c>
      <c r="G28" t="s">
        <v>86</v>
      </c>
    </row>
    <row r="29" spans="2:7">
      <c r="B29" s="2" t="s">
        <v>24</v>
      </c>
      <c r="C29" t="s">
        <v>50</v>
      </c>
      <c r="G29" t="s">
        <v>9</v>
      </c>
    </row>
    <row r="30" spans="2:7">
      <c r="B30" s="2" t="s">
        <v>25</v>
      </c>
      <c r="C30" t="s">
        <v>51</v>
      </c>
      <c r="G30" t="s">
        <v>10</v>
      </c>
    </row>
    <row r="31" spans="2:7">
      <c r="B31" s="2" t="s">
        <v>26</v>
      </c>
      <c r="C31" t="s">
        <v>52</v>
      </c>
      <c r="G31" t="s">
        <v>87</v>
      </c>
    </row>
    <row r="32" spans="2:7">
      <c r="B32" s="2" t="s">
        <v>27</v>
      </c>
      <c r="C32" t="s">
        <v>53</v>
      </c>
      <c r="G32" t="s">
        <v>88</v>
      </c>
    </row>
    <row r="33" spans="2:7">
      <c r="G33" t="s">
        <v>89</v>
      </c>
    </row>
    <row r="34" spans="2:7" ht="23.5">
      <c r="B34" s="11" t="s">
        <v>121</v>
      </c>
      <c r="G34" t="s">
        <v>90</v>
      </c>
    </row>
    <row r="35" spans="2:7">
      <c r="G35" t="s">
        <v>91</v>
      </c>
    </row>
    <row r="36" spans="2:7">
      <c r="G36" t="s">
        <v>92</v>
      </c>
    </row>
    <row r="37" spans="2:7">
      <c r="G37" t="s">
        <v>93</v>
      </c>
    </row>
    <row r="38" spans="2:7">
      <c r="G38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 Schwarzer</cp:lastModifiedBy>
  <dcterms:created xsi:type="dcterms:W3CDTF">2018-03-27T13:39:52Z</dcterms:created>
  <dcterms:modified xsi:type="dcterms:W3CDTF">2019-03-22T13:49:12Z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