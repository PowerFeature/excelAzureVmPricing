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cuments\"/>
    </mc:Choice>
  </mc:AlternateContent>
  <xr:revisionPtr revIDLastSave="0" documentId="8_{3891D0A7-BA35-43CE-A2C2-55A5F857C124}" xr6:coauthVersionLast="40" xr6:coauthVersionMax="40" xr10:uidLastSave="{00000000-0000-0000-0000-000000000000}"/>
  <bookViews>
    <workbookView xWindow="0" yWindow="0" windowWidth="25600" windowHeight="11640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5" i="5" s="1"/>
  <c r="B16" i="5" s="1"/>
  <c r="B17" i="5" s="1"/>
  <c r="B18" i="5" s="1"/>
  <c r="B19" i="5" s="1"/>
  <c r="B20" i="5" s="1"/>
  <c r="B21" i="5" s="1"/>
  <c r="B5" i="5"/>
  <c r="B6" i="5" s="1"/>
  <c r="B7" i="5" s="1"/>
  <c r="B8" i="5" s="1"/>
  <c r="B9" i="5" s="1"/>
  <c r="B10" i="5" s="1"/>
  <c r="B11" i="5" s="1"/>
  <c r="H8" i="3"/>
  <c r="H7" i="3"/>
  <c r="J8" i="3"/>
  <c r="J40" i="3"/>
  <c r="J14" i="3"/>
  <c r="J25" i="3"/>
  <c r="J29" i="3"/>
  <c r="J18" i="3"/>
  <c r="J27" i="3"/>
  <c r="J11" i="3"/>
  <c r="J39" i="3"/>
  <c r="J28" i="3"/>
  <c r="J21" i="3"/>
  <c r="J5" i="3"/>
  <c r="H40" i="3"/>
  <c r="H11" i="3"/>
  <c r="H39" i="3"/>
  <c r="H27" i="3"/>
  <c r="H38" i="3"/>
  <c r="H37" i="3"/>
  <c r="H26" i="3"/>
  <c r="H44" i="3"/>
  <c r="H33" i="3"/>
  <c r="M40" i="3"/>
  <c r="M8" i="3"/>
  <c r="M11" i="3"/>
  <c r="M39" i="3"/>
  <c r="M7" i="3"/>
  <c r="M27" i="3"/>
  <c r="M38" i="3"/>
  <c r="M37" i="3"/>
  <c r="M26" i="3"/>
  <c r="M44" i="3"/>
  <c r="M33" i="3"/>
  <c r="J45" i="3"/>
  <c r="J30" i="3"/>
  <c r="J7" i="3"/>
  <c r="H12" i="3"/>
  <c r="K12" i="3" s="1"/>
  <c r="H28" i="3"/>
  <c r="K28" i="3" s="1"/>
  <c r="H19" i="3"/>
  <c r="K19" i="3" s="1"/>
  <c r="K38" i="3"/>
  <c r="K37" i="3"/>
  <c r="K26" i="3"/>
  <c r="K44" i="3"/>
  <c r="K33" i="3"/>
  <c r="J16" i="3"/>
  <c r="J48" i="3"/>
  <c r="J15" i="3"/>
  <c r="J33" i="3"/>
  <c r="J22" i="3"/>
  <c r="J26" i="3"/>
  <c r="J6" i="3"/>
  <c r="J19" i="3"/>
  <c r="J47" i="3"/>
  <c r="J36" i="3"/>
  <c r="J37" i="3"/>
  <c r="H49" i="3"/>
  <c r="H32" i="3"/>
  <c r="H29" i="3"/>
  <c r="H34" i="3"/>
  <c r="H31" i="3"/>
  <c r="H6" i="3"/>
  <c r="N6" i="3" s="1"/>
  <c r="H18" i="3"/>
  <c r="N18" i="3" s="1"/>
  <c r="H30" i="3"/>
  <c r="N30" i="3" s="1"/>
  <c r="H13" i="3"/>
  <c r="N13" i="3" s="1"/>
  <c r="H25" i="3"/>
  <c r="N25" i="3" s="1"/>
  <c r="H43" i="3"/>
  <c r="N43" i="3" s="1"/>
  <c r="H5" i="3"/>
  <c r="M5" i="3" s="1"/>
  <c r="N40" i="3"/>
  <c r="N8" i="3"/>
  <c r="M12" i="3"/>
  <c r="N11" i="3"/>
  <c r="N39" i="3"/>
  <c r="N7" i="3"/>
  <c r="M28" i="3"/>
  <c r="N27" i="3"/>
  <c r="N38" i="3"/>
  <c r="N37" i="3"/>
  <c r="M19" i="3"/>
  <c r="N26" i="3"/>
  <c r="N44" i="3"/>
  <c r="N33" i="3"/>
  <c r="I5" i="3"/>
  <c r="J17" i="3"/>
  <c r="J49" i="3"/>
  <c r="J42" i="3"/>
  <c r="J13" i="3"/>
  <c r="H48" i="3"/>
  <c r="H15" i="3"/>
  <c r="H14" i="3"/>
  <c r="H10" i="3"/>
  <c r="K11" i="3"/>
  <c r="K39" i="3"/>
  <c r="K7" i="3"/>
  <c r="K27" i="3"/>
  <c r="M13" i="3"/>
  <c r="M25" i="3"/>
  <c r="J24" i="3"/>
  <c r="J43" i="3"/>
  <c r="J9" i="3"/>
  <c r="J41" i="3"/>
  <c r="J23" i="3"/>
  <c r="J34" i="3"/>
  <c r="J46" i="3"/>
  <c r="J35" i="3"/>
  <c r="J12" i="3"/>
  <c r="J44" i="3"/>
  <c r="J38" i="3"/>
  <c r="H41" i="3"/>
  <c r="H24" i="3"/>
  <c r="H36" i="3"/>
  <c r="K36" i="3" s="1"/>
  <c r="H9" i="3"/>
  <c r="K9" i="3" s="1"/>
  <c r="H23" i="3"/>
  <c r="K23" i="3" s="1"/>
  <c r="H21" i="3"/>
  <c r="H17" i="3"/>
  <c r="H22" i="3"/>
  <c r="H20" i="3"/>
  <c r="K20" i="3" s="1"/>
  <c r="H45" i="3"/>
  <c r="K45" i="3" s="1"/>
  <c r="H35" i="3"/>
  <c r="C11" i="5"/>
  <c r="M41" i="3"/>
  <c r="N48" i="3"/>
  <c r="K32" i="3"/>
  <c r="M24" i="3"/>
  <c r="K29" i="3"/>
  <c r="M36" i="3"/>
  <c r="N12" i="3"/>
  <c r="K34" i="3"/>
  <c r="M9" i="3"/>
  <c r="K31" i="3"/>
  <c r="M23" i="3"/>
  <c r="N15" i="3"/>
  <c r="K6" i="3"/>
  <c r="M21" i="3"/>
  <c r="N28" i="3"/>
  <c r="K18" i="3"/>
  <c r="M17" i="3"/>
  <c r="K30" i="3"/>
  <c r="M22" i="3"/>
  <c r="N14" i="3"/>
  <c r="K13" i="3"/>
  <c r="M20" i="3"/>
  <c r="N19" i="3"/>
  <c r="K25" i="3"/>
  <c r="M45" i="3"/>
  <c r="K43" i="3"/>
  <c r="M35" i="3"/>
  <c r="N10" i="3"/>
  <c r="K5" i="3"/>
  <c r="J32" i="3"/>
  <c r="J10" i="3"/>
  <c r="J31" i="3"/>
  <c r="J20" i="3"/>
  <c r="H16" i="3"/>
  <c r="H47" i="3"/>
  <c r="H46" i="3"/>
  <c r="H42" i="3"/>
  <c r="K40" i="3"/>
  <c r="K8" i="3"/>
  <c r="N36" i="3"/>
  <c r="N9" i="3"/>
  <c r="N23" i="3"/>
  <c r="M6" i="3"/>
  <c r="M18" i="3"/>
  <c r="M30" i="3"/>
  <c r="N20" i="3"/>
  <c r="N45" i="3"/>
  <c r="M43" i="3"/>
  <c r="N5" i="3"/>
  <c r="C21" i="5"/>
  <c r="F21" i="5"/>
  <c r="I21" i="5"/>
  <c r="K21" i="5"/>
  <c r="J21" i="5"/>
  <c r="E21" i="5"/>
  <c r="G21" i="5"/>
  <c r="C15" i="5"/>
  <c r="J11" i="5"/>
  <c r="H15" i="5"/>
  <c r="C8" i="5"/>
  <c r="L8" i="5"/>
  <c r="I39" i="3"/>
  <c r="L15" i="5"/>
  <c r="C9" i="5"/>
  <c r="M8" i="5"/>
  <c r="D9" i="5"/>
  <c r="I15" i="5"/>
  <c r="I40" i="3"/>
  <c r="I30" i="3"/>
  <c r="F9" i="5"/>
  <c r="F11" i="5"/>
  <c r="H9" i="5"/>
  <c r="I48" i="3"/>
  <c r="E11" i="5"/>
  <c r="C16" i="5"/>
  <c r="M15" i="5"/>
  <c r="K15" i="5"/>
  <c r="E16" i="5"/>
  <c r="H11" i="5"/>
  <c r="C5" i="5"/>
  <c r="I8" i="3"/>
  <c r="C14" i="5"/>
  <c r="G11" i="5"/>
  <c r="F16" i="5"/>
  <c r="L11" i="5"/>
  <c r="I9" i="5"/>
  <c r="K14" i="5"/>
  <c r="J5" i="5"/>
  <c r="E15" i="5"/>
  <c r="G14" i="5"/>
  <c r="K11" i="5"/>
  <c r="N15" i="5"/>
  <c r="I38" i="3"/>
  <c r="J8" i="5"/>
  <c r="G5" i="5"/>
  <c r="L9" i="5"/>
  <c r="H14" i="5"/>
  <c r="C10" i="5"/>
  <c r="C4" i="5"/>
  <c r="H16" i="5"/>
  <c r="C19" i="5"/>
  <c r="N8" i="5"/>
  <c r="I27" i="3"/>
  <c r="F8" i="5"/>
  <c r="G8" i="5"/>
  <c r="F5" i="5"/>
  <c r="G9" i="5"/>
  <c r="K19" i="5"/>
  <c r="C6" i="5"/>
  <c r="M11" i="5"/>
  <c r="N16" i="5"/>
  <c r="I16" i="5"/>
  <c r="D6" i="5"/>
  <c r="N11" i="5"/>
  <c r="L5" i="5"/>
  <c r="K8" i="5"/>
  <c r="C13" i="5"/>
  <c r="F15" i="5"/>
  <c r="I7" i="3"/>
  <c r="L6" i="5"/>
  <c r="H5" i="5"/>
  <c r="D15" i="5"/>
  <c r="J16" i="5"/>
  <c r="I11" i="5"/>
  <c r="J10" i="5"/>
  <c r="J15" i="5"/>
  <c r="J9" i="5"/>
  <c r="D14" i="5"/>
  <c r="F6" i="5"/>
  <c r="M9" i="5"/>
  <c r="C20" i="5"/>
  <c r="M6" i="5"/>
  <c r="H13" i="5"/>
  <c r="N4" i="5"/>
  <c r="K9" i="5"/>
  <c r="C18" i="5"/>
  <c r="N18" i="5"/>
  <c r="K20" i="5"/>
  <c r="E10" i="5"/>
  <c r="I8" i="5"/>
  <c r="E5" i="5"/>
  <c r="I13" i="5"/>
  <c r="N9" i="5"/>
  <c r="I14" i="5"/>
  <c r="N14" i="5"/>
  <c r="N19" i="5"/>
  <c r="M20" i="5"/>
  <c r="I20" i="5"/>
  <c r="C17" i="5"/>
  <c r="N10" i="5"/>
  <c r="G4" i="5"/>
  <c r="I46" i="3"/>
  <c r="C7" i="5"/>
  <c r="G15" i="5"/>
  <c r="L13" i="5"/>
  <c r="F13" i="5"/>
  <c r="I19" i="3"/>
  <c r="I20" i="3"/>
  <c r="M19" i="5"/>
  <c r="H10" i="5"/>
  <c r="H8" i="5"/>
  <c r="D7" i="5"/>
  <c r="F19" i="5"/>
  <c r="H18" i="5"/>
  <c r="M49" i="3"/>
  <c r="N49" i="3"/>
  <c r="M32" i="3"/>
  <c r="N32" i="3"/>
  <c r="M29" i="3"/>
  <c r="N29" i="3"/>
  <c r="M34" i="3"/>
  <c r="N34" i="3"/>
  <c r="M31" i="3"/>
  <c r="N31" i="3"/>
  <c r="M48" i="3"/>
  <c r="K48" i="3"/>
  <c r="M15" i="3"/>
  <c r="K15" i="3"/>
  <c r="M14" i="3"/>
  <c r="K14" i="3"/>
  <c r="M10" i="3"/>
  <c r="K10" i="3"/>
  <c r="N41" i="3"/>
  <c r="K41" i="3"/>
  <c r="N24" i="3"/>
  <c r="K24" i="3"/>
  <c r="K21" i="3"/>
  <c r="N21" i="3"/>
  <c r="N17" i="3"/>
  <c r="K17" i="3"/>
  <c r="N22" i="3"/>
  <c r="K22" i="3"/>
  <c r="N35" i="3"/>
  <c r="K35" i="3"/>
  <c r="N16" i="3"/>
  <c r="M16" i="3"/>
  <c r="K16" i="3"/>
  <c r="N47" i="3"/>
  <c r="M47" i="3"/>
  <c r="K47" i="3"/>
  <c r="N46" i="3"/>
  <c r="M46" i="3"/>
  <c r="K46" i="3"/>
  <c r="N42" i="3"/>
  <c r="M42" i="3"/>
  <c r="K42" i="3"/>
  <c r="D21" i="5"/>
  <c r="H21" i="5"/>
  <c r="L21" i="5"/>
  <c r="K16" i="5"/>
  <c r="G16" i="5"/>
  <c r="L16" i="5"/>
  <c r="M16" i="5"/>
  <c r="I5" i="5"/>
  <c r="N5" i="5"/>
  <c r="K5" i="5"/>
  <c r="M5" i="5"/>
  <c r="M14" i="5"/>
  <c r="F14" i="5"/>
  <c r="E14" i="5"/>
  <c r="J14" i="5"/>
  <c r="L14" i="5"/>
  <c r="M10" i="5"/>
  <c r="K10" i="5"/>
  <c r="G10" i="5"/>
  <c r="F10" i="5"/>
  <c r="L10" i="5"/>
  <c r="I10" i="5"/>
  <c r="J4" i="5"/>
  <c r="I4" i="5"/>
  <c r="F4" i="5"/>
  <c r="E4" i="5"/>
  <c r="M4" i="5"/>
  <c r="L4" i="5"/>
  <c r="H4" i="5"/>
  <c r="K4" i="5"/>
  <c r="I19" i="5"/>
  <c r="L19" i="5"/>
  <c r="J19" i="5"/>
  <c r="D19" i="5"/>
  <c r="H19" i="5"/>
  <c r="G19" i="5"/>
  <c r="E19" i="5"/>
  <c r="H6" i="5"/>
  <c r="J6" i="5"/>
  <c r="G6" i="5"/>
  <c r="I6" i="5"/>
  <c r="N6" i="5"/>
  <c r="K6" i="5"/>
  <c r="G13" i="5"/>
  <c r="D13" i="5"/>
  <c r="M13" i="5"/>
  <c r="K13" i="5"/>
  <c r="J13" i="5"/>
  <c r="N13" i="5"/>
  <c r="E13" i="5"/>
  <c r="J20" i="5"/>
  <c r="D20" i="5"/>
  <c r="H20" i="5"/>
  <c r="F20" i="5"/>
  <c r="G20" i="5"/>
  <c r="N20" i="5"/>
  <c r="E20" i="5"/>
  <c r="L20" i="5"/>
  <c r="I18" i="5"/>
  <c r="F18" i="5"/>
  <c r="G18" i="5"/>
  <c r="E18" i="5"/>
  <c r="L18" i="5"/>
  <c r="M18" i="5"/>
  <c r="K18" i="5"/>
  <c r="N17" i="5"/>
  <c r="G17" i="5"/>
  <c r="M17" i="5"/>
  <c r="D17" i="5"/>
  <c r="E17" i="5"/>
  <c r="F17" i="5"/>
  <c r="J17" i="5"/>
  <c r="L17" i="5"/>
  <c r="K17" i="5"/>
  <c r="H17" i="5"/>
  <c r="I17" i="5"/>
  <c r="J7" i="5"/>
  <c r="M7" i="5"/>
  <c r="K7" i="5"/>
  <c r="H7" i="5"/>
  <c r="N7" i="5"/>
  <c r="G7" i="5"/>
  <c r="L7" i="5"/>
  <c r="I7" i="5"/>
  <c r="F7" i="5"/>
  <c r="L5" i="3" l="1"/>
  <c r="L38" i="3"/>
  <c r="L30" i="3"/>
  <c r="L20" i="3"/>
  <c r="L27" i="3"/>
  <c r="L40" i="3"/>
  <c r="L19" i="3"/>
  <c r="L48" i="3"/>
  <c r="L7" i="3"/>
  <c r="L8" i="3"/>
  <c r="L39" i="3"/>
  <c r="L46" i="3"/>
  <c r="C44" i="3"/>
  <c r="C39" i="3"/>
  <c r="C38" i="3"/>
  <c r="C30" i="3"/>
  <c r="C25" i="3"/>
  <c r="C18" i="3"/>
  <c r="C17" i="3"/>
  <c r="C13" i="3"/>
  <c r="C12" i="3"/>
  <c r="C8" i="3"/>
  <c r="C6" i="3"/>
  <c r="C5" i="3"/>
  <c r="J18" i="5"/>
  <c r="E8" i="5"/>
  <c r="I41" i="3"/>
  <c r="I45" i="3"/>
  <c r="I29" i="3"/>
  <c r="I28" i="3"/>
  <c r="D18" i="5"/>
  <c r="I23" i="3"/>
  <c r="I35" i="3"/>
  <c r="D8" i="5"/>
  <c r="I26" i="3"/>
  <c r="I44" i="3"/>
  <c r="I11" i="3"/>
  <c r="I16" i="3"/>
  <c r="D4" i="5"/>
  <c r="I42" i="3"/>
  <c r="I49" i="3"/>
  <c r="I25" i="3"/>
  <c r="I17" i="3"/>
  <c r="I15" i="3"/>
  <c r="I24" i="3"/>
  <c r="D11" i="5"/>
  <c r="D5" i="5"/>
  <c r="I18" i="3"/>
  <c r="I36" i="3"/>
  <c r="I9" i="3"/>
  <c r="D10" i="5"/>
  <c r="I33" i="3"/>
  <c r="E6" i="5"/>
  <c r="I31" i="3"/>
  <c r="I37" i="3"/>
  <c r="I6" i="3"/>
  <c r="I21" i="3"/>
  <c r="I34" i="3"/>
  <c r="E7" i="5"/>
  <c r="I12" i="3"/>
  <c r="I47" i="3"/>
  <c r="E9" i="5"/>
  <c r="I32" i="3"/>
  <c r="I14" i="3"/>
  <c r="I13" i="3"/>
  <c r="I22" i="3"/>
  <c r="I10" i="3"/>
  <c r="I43" i="3"/>
  <c r="D16" i="5"/>
  <c r="L44" i="3" l="1"/>
  <c r="L17" i="3"/>
  <c r="L34" i="3"/>
  <c r="L26" i="3"/>
  <c r="L18" i="3"/>
  <c r="L32" i="3"/>
  <c r="L21" i="3"/>
  <c r="L43" i="3"/>
  <c r="L25" i="3"/>
  <c r="L6" i="3"/>
  <c r="L35" i="3"/>
  <c r="L37" i="3"/>
  <c r="L23" i="3"/>
  <c r="L10" i="3"/>
  <c r="L31" i="3"/>
  <c r="L47" i="3"/>
  <c r="L28" i="3"/>
  <c r="L11" i="3"/>
  <c r="L22" i="3"/>
  <c r="L42" i="3"/>
  <c r="L33" i="3"/>
  <c r="L29" i="3"/>
  <c r="L24" i="3"/>
  <c r="L12" i="3"/>
  <c r="L45" i="3"/>
  <c r="L13" i="3"/>
  <c r="L9" i="3"/>
  <c r="L41" i="3"/>
  <c r="L15" i="3"/>
  <c r="L36" i="3"/>
  <c r="L14" i="3"/>
  <c r="L16" i="3"/>
  <c r="C19" i="3"/>
  <c r="C40" i="3"/>
  <c r="C46" i="3"/>
  <c r="C27" i="3"/>
  <c r="C32" i="3"/>
  <c r="C28" i="3"/>
  <c r="C33" i="3"/>
  <c r="C10" i="3"/>
  <c r="C14" i="3"/>
  <c r="C9" i="3"/>
  <c r="C26" i="3"/>
  <c r="C31" i="3"/>
  <c r="C45" i="3"/>
  <c r="F7" i="1"/>
  <c r="F8" i="1"/>
  <c r="C48" i="3" l="1"/>
  <c r="C41" i="3"/>
  <c r="C7" i="3"/>
  <c r="C47" i="3"/>
  <c r="C11" i="3"/>
  <c r="C15" i="3"/>
  <c r="C34" i="3"/>
  <c r="C20" i="3"/>
  <c r="E19" i="1"/>
  <c r="G7" i="1"/>
  <c r="E25" i="1"/>
  <c r="F9" i="1"/>
  <c r="K19" i="1"/>
  <c r="K9" i="1"/>
  <c r="L19" i="1"/>
  <c r="K7" i="1"/>
  <c r="G25" i="1"/>
  <c r="N25" i="1"/>
  <c r="F11" i="1"/>
  <c r="M19" i="1"/>
  <c r="G11" i="1"/>
  <c r="F19" i="1"/>
  <c r="O25" i="1"/>
  <c r="E20" i="1"/>
  <c r="K20" i="1"/>
  <c r="J7" i="1"/>
  <c r="N20" i="1"/>
  <c r="J25" i="1"/>
  <c r="I11" i="1"/>
  <c r="F10" i="1"/>
  <c r="I8" i="1"/>
  <c r="G8" i="1"/>
  <c r="G19" i="1"/>
  <c r="J8" i="1"/>
  <c r="E18" i="1"/>
  <c r="E26" i="1"/>
  <c r="K8" i="1"/>
  <c r="M20" i="1"/>
  <c r="L18" i="1"/>
  <c r="L26" i="1"/>
  <c r="G20" i="1"/>
  <c r="E17" i="1"/>
  <c r="J17" i="1"/>
  <c r="M17" i="1"/>
  <c r="J9" i="1"/>
  <c r="J18" i="1"/>
  <c r="N19" i="1"/>
  <c r="O18" i="1"/>
  <c r="J26" i="1"/>
  <c r="F26" i="1"/>
  <c r="E21" i="1"/>
  <c r="F17" i="1"/>
  <c r="E27" i="1"/>
  <c r="F20" i="1"/>
  <c r="L21" i="1"/>
  <c r="O20" i="1"/>
  <c r="N26" i="1"/>
  <c r="J20" i="1"/>
  <c r="E28" i="1"/>
  <c r="N28" i="1"/>
  <c r="O19" i="1"/>
  <c r="M28" i="1"/>
  <c r="O27" i="1"/>
  <c r="M27" i="1"/>
  <c r="J19" i="1"/>
  <c r="M25" i="1"/>
  <c r="L25" i="1"/>
  <c r="K11" i="1"/>
  <c r="F28" i="1"/>
  <c r="K28" i="1"/>
  <c r="G28" i="1"/>
  <c r="K25" i="1"/>
  <c r="N21" i="1"/>
  <c r="E29" i="1"/>
  <c r="K27" i="1"/>
  <c r="G17" i="1"/>
  <c r="L20" i="1"/>
  <c r="M26" i="1"/>
  <c r="O29" i="1"/>
  <c r="K29" i="1"/>
  <c r="K17" i="1"/>
  <c r="L27" i="1"/>
  <c r="J10" i="1"/>
  <c r="I10" i="1"/>
  <c r="N18" i="1"/>
  <c r="G18" i="1"/>
  <c r="F18" i="1"/>
  <c r="K18" i="1"/>
  <c r="K26" i="1"/>
  <c r="O26" i="1"/>
  <c r="G26" i="1"/>
  <c r="O17" i="1"/>
  <c r="L17" i="1"/>
  <c r="M21" i="1"/>
  <c r="F21" i="1"/>
  <c r="K21" i="1"/>
  <c r="O21" i="1"/>
  <c r="J21" i="1"/>
  <c r="J27" i="1"/>
  <c r="N27" i="1"/>
  <c r="O28" i="1"/>
  <c r="J28" i="1"/>
  <c r="N29" i="1"/>
  <c r="L29" i="1"/>
  <c r="F29" i="1"/>
  <c r="J29" i="1"/>
  <c r="M29" i="1"/>
  <c r="G29" i="1"/>
  <c r="C29" i="3" l="1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F27" i="1"/>
  <c r="I9" i="1"/>
  <c r="K10" i="1"/>
  <c r="G27" i="1"/>
  <c r="G9" i="1"/>
  <c r="I7" i="1"/>
  <c r="L28" i="1"/>
  <c r="N17" i="1"/>
  <c r="G10" i="1"/>
  <c r="M18" i="1"/>
  <c r="F25" i="1"/>
  <c r="J11" i="1"/>
  <c r="G21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<sst xmlns="http://schemas.openxmlformats.org/spreadsheetml/2006/main" count="160" uniqueCount="130">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</sst>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5" fillId="0" borderId="0" xfId="1" applyNumberFormat="1" applyFont="1"/>
    <xf numFmtId="44" fontId="4" fillId="0" borderId="0" xfId="1" applyNumberFormat="1" applyFont="1"/>
    <xf numFmtId="9" fontId="5" fillId="0" borderId="0" xfId="2" applyFont="1"/>
    <xf numFmtId="165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11" fillId="0" borderId="0" xfId="0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topLeftCell="A4" zoomScale="140" workbookViewId="0">
      <selection activeCell="A8" sqref="A8"/>
    </sheetView>
  </sheetViews>
  <sheetFormatPr defaultColWidth="8.7265625" defaultRowHeight="12"/>
  <cols>
    <col min="1" max="2" width="8.7265625" style="5"/>
    <col min="3" max="3" width="22.1796875" style="5" bestFit="1" customWidth="1"/>
    <col min="4" max="4" width="4.54296875" style="5" bestFit="1" customWidth="1"/>
    <col min="5" max="5" width="5.54296875" style="5" customWidth="1"/>
    <col min="6" max="6" width="5" style="5" bestFit="1" customWidth="1"/>
    <col min="7" max="7" width="8.7265625" style="5"/>
    <col min="8" max="8" width="16.453125" style="5" customWidth="1"/>
    <col min="9" max="9" width="15.54296875" style="8" customWidth="1"/>
    <col min="10" max="10" width="20.453125" style="5" customWidth="1"/>
    <col min="11" max="11" width="18.453125" style="5" customWidth="1"/>
    <col min="12" max="13" width="13.54296875" style="5" bestFit="1" customWidth="1"/>
    <col min="14" max="14" width="8.7265625" style="5"/>
    <col min="15" max="15" width="21.7265625" style="5" bestFit="1" customWidth="1"/>
    <col min="16" max="16" width="14.453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9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getVM(D5,E5,$A$6,$A$8,$A$10,)</f>
        <v>linux-b1ms-standard</v>
      </c>
      <c r="I5" s="22">
        <f>getVMPriceHour(H5,$A$6,$A$8,$A$10)*$A$12</f>
        <v>16.571000000000002</v>
      </c>
      <c r="J5" s="18" t="str">
        <f>getVM(D5,E5,$A$6,$A$8,$A$10,"","windows")</f>
        <v>windows-b1ms-standard</v>
      </c>
      <c r="K5" s="23">
        <f>getVMPriceHour(H5,3,$A$8,$A$10)*$A$12</f>
        <v>8.0591999999999988</v>
      </c>
      <c r="L5" s="24">
        <f>I5-K5</f>
        <v>8.5118000000000027</v>
      </c>
      <c r="M5" s="11" t="str">
        <f>getVMData(H5,$A$8,$A$10,"cores")</f>
        <v>1</v>
      </c>
      <c r="N5" s="11" t="str">
        <f>getVMData(H5,$A$8,$A$10,"cores")</f>
        <v>1</v>
      </c>
      <c r="O5" s="18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8" t="str">
        <f t="shared" ref="H6:H49" si="1">getVM(D6,E6,$A$6,$A$8,$A$10,)</f>
        <v>linux-b2s-standard</v>
      </c>
      <c r="I6" s="22">
        <f t="shared" ref="I6:I49" si="2">getVMPriceHour(H6,$A$6,$A$8,$A$10)*$A$12</f>
        <v>32.85</v>
      </c>
      <c r="J6" s="18" t="str">
        <f t="shared" ref="J6:J49" si="3">getVM(D6,E6,$A$6,$A$8,$A$10,"","windows")</f>
        <v>windows-b2s-standard</v>
      </c>
      <c r="K6" s="23">
        <f t="shared" ref="K6:K49" si="4">getVMPriceHour(H6,3,$A$8,$A$10)*$A$12</f>
        <v>16.081900000000001</v>
      </c>
      <c r="L6" s="24">
        <f t="shared" ref="L6:L49" si="5">I6-K6</f>
        <v>16.7681</v>
      </c>
      <c r="M6" s="11" t="str">
        <f t="shared" ref="M6:M49" si="6">getVMData(H6,$A$8,$A$10,"cores")</f>
        <v>2</v>
      </c>
      <c r="N6" s="11" t="str">
        <f t="shared" ref="N6:N49" si="7">getVMData(H6,$A$8,$A$10,"cores")</f>
        <v>2</v>
      </c>
      <c r="O6" s="18"/>
      <c r="Q6" s="10"/>
    </row>
    <row r="7" spans="1:17">
      <c r="A7" s="4" t="s">
        <v>16</v>
      </c>
      <c r="C7" s="5" t="str">
        <f t="shared" si="0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8" t="str">
        <f>getVM(D7,E7,$A$6,$A$8,$A$10,)</f>
        <v>linux-b2ms-standard</v>
      </c>
      <c r="I7" s="22">
        <f t="shared" si="2"/>
        <v>66.429999999999993</v>
      </c>
      <c r="J7" s="18" t="str">
        <f t="shared" si="3"/>
        <v>windows-b2ms-standard</v>
      </c>
      <c r="K7" s="23">
        <f t="shared" si="4"/>
        <v>32.192999999999998</v>
      </c>
      <c r="L7" s="24">
        <f t="shared" si="5"/>
        <v>34.236999999999995</v>
      </c>
      <c r="M7" s="11" t="str">
        <f t="shared" si="6"/>
        <v>2</v>
      </c>
      <c r="N7" s="11" t="str">
        <f t="shared" si="7"/>
        <v>2</v>
      </c>
      <c r="O7" s="18"/>
      <c r="Q7" s="10"/>
    </row>
    <row r="8" spans="1:17">
      <c r="A8" s="5" t="s">
        <v>20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>getVM(D8,E8,$A$6,$A$8,$A$10,)</f>
        <v>linux-b2s-standard</v>
      </c>
      <c r="I8" s="22">
        <f t="shared" si="2"/>
        <v>32.85</v>
      </c>
      <c r="J8" s="18" t="str">
        <f t="shared" si="3"/>
        <v>windows-b2s-standard</v>
      </c>
      <c r="K8" s="23">
        <f t="shared" si="4"/>
        <v>16.081900000000001</v>
      </c>
      <c r="L8" s="24">
        <f t="shared" si="5"/>
        <v>16.7681</v>
      </c>
      <c r="M8" s="11" t="str">
        <f t="shared" si="6"/>
        <v>2</v>
      </c>
      <c r="N8" s="11" t="str">
        <f t="shared" si="7"/>
        <v>2</v>
      </c>
      <c r="O8" s="18"/>
      <c r="Q8" s="10"/>
    </row>
    <row r="9" spans="1:17">
      <c r="A9" s="4" t="s">
        <v>3</v>
      </c>
      <c r="C9" s="5" t="str">
        <f t="shared" si="0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8" t="str">
        <f t="shared" si="1"/>
        <v>linux-b2s-standard</v>
      </c>
      <c r="I9" s="22">
        <f t="shared" si="2"/>
        <v>32.85</v>
      </c>
      <c r="J9" s="18" t="str">
        <f t="shared" si="3"/>
        <v>windows-b2s-standard</v>
      </c>
      <c r="K9" s="23">
        <f t="shared" si="4"/>
        <v>16.081900000000001</v>
      </c>
      <c r="L9" s="24">
        <f t="shared" si="5"/>
        <v>16.7681</v>
      </c>
      <c r="M9" s="11" t="str">
        <f t="shared" si="6"/>
        <v>2</v>
      </c>
      <c r="N9" s="11" t="str">
        <f t="shared" si="7"/>
        <v>2</v>
      </c>
      <c r="O9" s="18"/>
      <c r="Q9" s="10"/>
    </row>
    <row r="10" spans="1:17">
      <c r="A10" s="5" t="s">
        <v>122</v>
      </c>
      <c r="C10" s="5" t="str">
        <f t="shared" si="0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8" t="str">
        <f t="shared" si="1"/>
        <v>linux-b2ms-standard</v>
      </c>
      <c r="I10" s="22">
        <f t="shared" si="2"/>
        <v>66.429999999999993</v>
      </c>
      <c r="J10" s="18" t="str">
        <f t="shared" si="3"/>
        <v>windows-b2ms-standard</v>
      </c>
      <c r="K10" s="23">
        <f t="shared" si="4"/>
        <v>32.192999999999998</v>
      </c>
      <c r="L10" s="24">
        <f t="shared" si="5"/>
        <v>34.236999999999995</v>
      </c>
      <c r="M10" s="11" t="str">
        <f t="shared" si="6"/>
        <v>2</v>
      </c>
      <c r="N10" s="11" t="str">
        <f t="shared" si="7"/>
        <v>2</v>
      </c>
      <c r="O10" s="18"/>
      <c r="P10" s="24"/>
      <c r="Q10" s="10"/>
    </row>
    <row r="11" spans="1:17">
      <c r="A11" s="4" t="s">
        <v>115</v>
      </c>
      <c r="C11" s="5" t="str">
        <f t="shared" si="0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8" t="str">
        <f t="shared" si="1"/>
        <v>linux-a2mv2-standard</v>
      </c>
      <c r="I11" s="22">
        <f>getVMPriceHour(H11,$A$6,$A$8,$A$10)*$A$12</f>
        <v>101.47000000000001</v>
      </c>
      <c r="J11" s="18" t="str">
        <f t="shared" si="3"/>
        <v>windows-b4ms-standard</v>
      </c>
      <c r="K11" s="23" t="e">
        <f t="shared" si="4"/>
        <v>#VALUE!</v>
      </c>
      <c r="L11" s="24" t="e">
        <f t="shared" si="5"/>
        <v>#VALUE!</v>
      </c>
      <c r="M11" s="11" t="str">
        <f t="shared" si="6"/>
        <v>2</v>
      </c>
      <c r="N11" s="11" t="str">
        <f t="shared" si="7"/>
        <v>2</v>
      </c>
      <c r="O11" s="18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linux-b4ms-standard</v>
      </c>
      <c r="I12" s="22">
        <f t="shared" si="2"/>
        <v>132.85999999999999</v>
      </c>
      <c r="J12" s="18" t="str">
        <f t="shared" si="3"/>
        <v>windows-b4ms-standard</v>
      </c>
      <c r="K12" s="23">
        <f t="shared" si="4"/>
        <v>64.385999999999996</v>
      </c>
      <c r="L12" s="24">
        <f t="shared" si="5"/>
        <v>68.47399999999999</v>
      </c>
      <c r="M12" s="11" t="str">
        <f t="shared" si="6"/>
        <v>4</v>
      </c>
      <c r="N12" s="11" t="str">
        <f t="shared" si="7"/>
        <v>4</v>
      </c>
      <c r="O12" s="18"/>
      <c r="Q12" s="10"/>
    </row>
    <row r="13" spans="1:17">
      <c r="C13" s="5" t="str">
        <f t="shared" si="0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8" t="str">
        <f t="shared" si="1"/>
        <v>linux-b4ms-standard</v>
      </c>
      <c r="I13" s="22">
        <f t="shared" si="2"/>
        <v>132.85999999999999</v>
      </c>
      <c r="J13" s="18" t="str">
        <f t="shared" si="3"/>
        <v>windows-b4ms-standard</v>
      </c>
      <c r="K13" s="23">
        <f t="shared" si="4"/>
        <v>64.385999999999996</v>
      </c>
      <c r="L13" s="24">
        <f t="shared" si="5"/>
        <v>68.47399999999999</v>
      </c>
      <c r="M13" s="11" t="str">
        <f t="shared" si="6"/>
        <v>4</v>
      </c>
      <c r="N13" s="11" t="str">
        <f t="shared" si="7"/>
        <v>4</v>
      </c>
      <c r="O13" s="18"/>
      <c r="Q13" s="10"/>
    </row>
    <row r="14" spans="1:17">
      <c r="C14" s="5" t="str">
        <f t="shared" si="0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8" t="str">
        <f t="shared" si="1"/>
        <v>linux-b4ms-standard</v>
      </c>
      <c r="I14" s="22">
        <f t="shared" si="2"/>
        <v>132.85999999999999</v>
      </c>
      <c r="J14" s="18" t="str">
        <f t="shared" si="3"/>
        <v>windows-b4ms-standard</v>
      </c>
      <c r="K14" s="23">
        <f t="shared" si="4"/>
        <v>64.385999999999996</v>
      </c>
      <c r="L14" s="24">
        <f t="shared" si="5"/>
        <v>68.47399999999999</v>
      </c>
      <c r="M14" s="11" t="str">
        <f t="shared" si="6"/>
        <v>4</v>
      </c>
      <c r="N14" s="11" t="str">
        <f t="shared" si="7"/>
        <v>4</v>
      </c>
      <c r="O14" s="18"/>
      <c r="Q14" s="10"/>
    </row>
    <row r="15" spans="1:17">
      <c r="C15" s="5" t="str">
        <f t="shared" si="0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8" t="str">
        <f t="shared" si="1"/>
        <v>linux-b4ms-standard</v>
      </c>
      <c r="I15" s="22">
        <f t="shared" si="2"/>
        <v>132.85999999999999</v>
      </c>
      <c r="J15" s="18" t="str">
        <f t="shared" si="3"/>
        <v>windows-b4ms-standard</v>
      </c>
      <c r="K15" s="23">
        <f t="shared" si="4"/>
        <v>64.385999999999996</v>
      </c>
      <c r="L15" s="24">
        <f t="shared" si="5"/>
        <v>68.47399999999999</v>
      </c>
      <c r="M15" s="11" t="str">
        <f t="shared" si="6"/>
        <v>4</v>
      </c>
      <c r="N15" s="11" t="str">
        <f t="shared" si="7"/>
        <v>4</v>
      </c>
      <c r="O15" s="18"/>
      <c r="Q15" s="10"/>
    </row>
    <row r="16" spans="1:17">
      <c r="C16" s="5" t="str">
        <f t="shared" si="0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8" t="str">
        <f t="shared" si="1"/>
        <v>linux-a4mv2-standard</v>
      </c>
      <c r="I16" s="22">
        <f t="shared" si="2"/>
        <v>212.42999999999998</v>
      </c>
      <c r="J16" s="18" t="str">
        <f t="shared" si="3"/>
        <v>windows-b8ms-standard</v>
      </c>
      <c r="K16" s="23" t="e">
        <f t="shared" si="4"/>
        <v>#VALUE!</v>
      </c>
      <c r="L16" s="24" t="e">
        <f t="shared" si="5"/>
        <v>#VALUE!</v>
      </c>
      <c r="M16" s="11" t="str">
        <f t="shared" si="6"/>
        <v>4</v>
      </c>
      <c r="N16" s="11" t="str">
        <f t="shared" si="7"/>
        <v>4</v>
      </c>
      <c r="O16" s="18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linux-b8ms-standard</v>
      </c>
      <c r="I17" s="22">
        <f t="shared" si="2"/>
        <v>265.71999999999997</v>
      </c>
      <c r="J17" s="18" t="str">
        <f t="shared" si="3"/>
        <v>windows-b8ms-standard</v>
      </c>
      <c r="K17" s="23">
        <f t="shared" si="4"/>
        <v>128.7501</v>
      </c>
      <c r="L17" s="24">
        <f t="shared" si="5"/>
        <v>136.96989999999997</v>
      </c>
      <c r="M17" s="11" t="str">
        <f t="shared" si="6"/>
        <v>8</v>
      </c>
      <c r="N17" s="11" t="str">
        <f t="shared" si="7"/>
        <v>8</v>
      </c>
      <c r="O17" s="18"/>
      <c r="Q17" s="10"/>
    </row>
    <row r="18" spans="3:17">
      <c r="C18" s="5" t="str">
        <f t="shared" si="0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8" t="str">
        <f t="shared" si="1"/>
        <v>linux-b8ms-standard</v>
      </c>
      <c r="I18" s="22">
        <f t="shared" si="2"/>
        <v>265.71999999999997</v>
      </c>
      <c r="J18" s="18" t="str">
        <f t="shared" si="3"/>
        <v>windows-b8ms-standard</v>
      </c>
      <c r="K18" s="23">
        <f t="shared" si="4"/>
        <v>128.7501</v>
      </c>
      <c r="L18" s="24">
        <f t="shared" si="5"/>
        <v>136.96989999999997</v>
      </c>
      <c r="M18" s="11" t="str">
        <f t="shared" si="6"/>
        <v>8</v>
      </c>
      <c r="N18" s="11" t="str">
        <f t="shared" si="7"/>
        <v>8</v>
      </c>
      <c r="O18" s="18"/>
      <c r="Q18" s="10"/>
    </row>
    <row r="19" spans="3:17">
      <c r="C19" s="5" t="str">
        <f t="shared" si="0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8" t="str">
        <f t="shared" si="1"/>
        <v>linux-b8ms-standard</v>
      </c>
      <c r="I19" s="22">
        <f t="shared" si="2"/>
        <v>265.71999999999997</v>
      </c>
      <c r="J19" s="18" t="str">
        <f t="shared" si="3"/>
        <v>windows-b8ms-standard</v>
      </c>
      <c r="K19" s="23">
        <f t="shared" si="4"/>
        <v>128.7501</v>
      </c>
      <c r="L19" s="24">
        <f t="shared" si="5"/>
        <v>136.96989999999997</v>
      </c>
      <c r="M19" s="11" t="str">
        <f t="shared" si="6"/>
        <v>8</v>
      </c>
      <c r="N19" s="11" t="str">
        <f t="shared" si="7"/>
        <v>8</v>
      </c>
      <c r="O19" s="18"/>
      <c r="Q19" s="10"/>
    </row>
    <row r="20" spans="3:17">
      <c r="C20" s="5" t="str">
        <f t="shared" si="0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8" t="str">
        <f t="shared" si="1"/>
        <v>linux-b8ms-standard</v>
      </c>
      <c r="I20" s="22">
        <f t="shared" si="2"/>
        <v>265.71999999999997</v>
      </c>
      <c r="J20" s="18" t="str">
        <f t="shared" si="3"/>
        <v>windows-b8ms-standard</v>
      </c>
      <c r="K20" s="23">
        <f t="shared" si="4"/>
        <v>128.7501</v>
      </c>
      <c r="L20" s="24">
        <f t="shared" si="5"/>
        <v>136.96989999999997</v>
      </c>
      <c r="M20" s="11" t="str">
        <f t="shared" si="6"/>
        <v>8</v>
      </c>
      <c r="N20" s="11" t="str">
        <f t="shared" si="7"/>
        <v>8</v>
      </c>
      <c r="O20" s="18"/>
      <c r="Q20" s="10"/>
    </row>
    <row r="21" spans="3:17">
      <c r="C21" s="5" t="str">
        <f t="shared" si="0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8" t="str">
        <f t="shared" si="1"/>
        <v>linux-b8ms-standard</v>
      </c>
      <c r="I21" s="22">
        <f t="shared" si="2"/>
        <v>265.71999999999997</v>
      </c>
      <c r="J21" s="18" t="str">
        <f t="shared" si="3"/>
        <v>windows-b8ms-standard</v>
      </c>
      <c r="K21" s="23">
        <f t="shared" si="4"/>
        <v>128.7501</v>
      </c>
      <c r="L21" s="24">
        <f t="shared" si="5"/>
        <v>136.96989999999997</v>
      </c>
      <c r="M21" s="11" t="str">
        <f t="shared" si="6"/>
        <v>8</v>
      </c>
      <c r="N21" s="11" t="str">
        <f t="shared" si="7"/>
        <v>8</v>
      </c>
      <c r="O21" s="18"/>
      <c r="Q21" s="10"/>
    </row>
    <row r="22" spans="3:17">
      <c r="C22" s="5" t="str">
        <f t="shared" si="0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8" t="str">
        <f t="shared" si="1"/>
        <v>linux-e8v3-standard</v>
      </c>
      <c r="I22" s="22">
        <f t="shared" si="2"/>
        <v>432.89</v>
      </c>
      <c r="J22" s="18" t="str">
        <f t="shared" si="3"/>
        <v>windows-a8mv2-standard</v>
      </c>
      <c r="K22" s="23">
        <f t="shared" si="4"/>
        <v>162.7243</v>
      </c>
      <c r="L22" s="24">
        <f t="shared" si="5"/>
        <v>270.16570000000002</v>
      </c>
      <c r="M22" s="11" t="str">
        <f t="shared" si="6"/>
        <v>8</v>
      </c>
      <c r="N22" s="11" t="str">
        <f t="shared" si="7"/>
        <v>8</v>
      </c>
      <c r="O22" s="18"/>
      <c r="Q22" s="10"/>
    </row>
    <row r="23" spans="3:17">
      <c r="C23" s="5" t="str">
        <f t="shared" si="0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8" t="str">
        <f t="shared" si="1"/>
        <v>linux-e16v3-standard</v>
      </c>
      <c r="I23" s="22">
        <f t="shared" si="2"/>
        <v>865.78</v>
      </c>
      <c r="J23" s="18" t="str">
        <f t="shared" si="3"/>
        <v>windows-e16v3-standard</v>
      </c>
      <c r="K23" s="23">
        <f t="shared" si="4"/>
        <v>325.4194</v>
      </c>
      <c r="L23" s="24">
        <f t="shared" si="5"/>
        <v>540.36059999999998</v>
      </c>
      <c r="M23" s="11" t="str">
        <f t="shared" si="6"/>
        <v>16</v>
      </c>
      <c r="N23" s="11" t="str">
        <f t="shared" si="7"/>
        <v>16</v>
      </c>
      <c r="O23" s="18"/>
      <c r="Q23" s="10"/>
    </row>
    <row r="24" spans="3:17">
      <c r="C24" s="5" t="str">
        <f t="shared" si="0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8" t="str">
        <f t="shared" si="1"/>
        <v>linux-e32v3-standard</v>
      </c>
      <c r="I24" s="22">
        <f t="shared" si="2"/>
        <v>1730.83</v>
      </c>
      <c r="J24" s="18" t="str">
        <f t="shared" si="3"/>
        <v>windows-e32v3-standard</v>
      </c>
      <c r="K24" s="23">
        <f t="shared" si="4"/>
        <v>650.83150000000001</v>
      </c>
      <c r="L24" s="24">
        <f t="shared" si="5"/>
        <v>1079.9984999999999</v>
      </c>
      <c r="M24" s="11" t="str">
        <f t="shared" si="6"/>
        <v>32</v>
      </c>
      <c r="N24" s="11" t="str">
        <f t="shared" si="7"/>
        <v>32</v>
      </c>
      <c r="O24" s="18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2">
        <f t="shared" si="2"/>
        <v>624.88</v>
      </c>
      <c r="J25" s="18" t="str">
        <f t="shared" si="3"/>
        <v>windows-d16v3-standard</v>
      </c>
      <c r="K25" s="23">
        <f t="shared" si="4"/>
        <v>270.1146</v>
      </c>
      <c r="L25" s="24">
        <f t="shared" si="5"/>
        <v>354.7654</v>
      </c>
      <c r="M25" s="11" t="str">
        <f t="shared" si="6"/>
        <v>16</v>
      </c>
      <c r="N25" s="11" t="str">
        <f t="shared" si="7"/>
        <v>16</v>
      </c>
      <c r="O25" s="18"/>
      <c r="Q25" s="10"/>
    </row>
    <row r="26" spans="3:17">
      <c r="C26" s="5" t="str">
        <f t="shared" si="0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8" t="str">
        <f t="shared" si="1"/>
        <v>linux-e16v3-standard</v>
      </c>
      <c r="I26" s="22">
        <f t="shared" si="2"/>
        <v>865.78</v>
      </c>
      <c r="J26" s="18" t="str">
        <f t="shared" si="3"/>
        <v>windows-e16v3-standard</v>
      </c>
      <c r="K26" s="23">
        <f t="shared" si="4"/>
        <v>325.4194</v>
      </c>
      <c r="L26" s="24">
        <f t="shared" si="5"/>
        <v>540.36059999999998</v>
      </c>
      <c r="M26" s="11" t="str">
        <f t="shared" si="6"/>
        <v>16</v>
      </c>
      <c r="N26" s="11" t="str">
        <f t="shared" si="7"/>
        <v>16</v>
      </c>
      <c r="O26" s="18"/>
      <c r="Q26" s="10"/>
    </row>
    <row r="27" spans="3:17">
      <c r="C27" s="5" t="str">
        <f t="shared" si="0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8" t="str">
        <f t="shared" si="1"/>
        <v>linux-e32v3-standard</v>
      </c>
      <c r="I27" s="22">
        <f t="shared" si="2"/>
        <v>1730.83</v>
      </c>
      <c r="J27" s="18" t="str">
        <f t="shared" si="3"/>
        <v>windows-e32v3-standard</v>
      </c>
      <c r="K27" s="23">
        <f t="shared" si="4"/>
        <v>650.83150000000001</v>
      </c>
      <c r="L27" s="24">
        <f t="shared" si="5"/>
        <v>1079.9984999999999</v>
      </c>
      <c r="M27" s="11" t="str">
        <f t="shared" si="6"/>
        <v>32</v>
      </c>
      <c r="N27" s="11" t="str">
        <f t="shared" si="7"/>
        <v>32</v>
      </c>
      <c r="O27" s="18"/>
      <c r="Q27" s="10"/>
    </row>
    <row r="28" spans="3:17">
      <c r="C28" s="5" t="str">
        <f t="shared" si="0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8" t="str">
        <f t="shared" si="1"/>
        <v>linux-m64ls-standard</v>
      </c>
      <c r="I28" s="22">
        <f t="shared" si="2"/>
        <v>4387.7745000000004</v>
      </c>
      <c r="J28" s="18" t="str">
        <f t="shared" si="3"/>
        <v>windows-m64ls-standard</v>
      </c>
      <c r="K28" s="23">
        <f t="shared" si="4"/>
        <v>1227.5534</v>
      </c>
      <c r="L28" s="24">
        <f t="shared" si="5"/>
        <v>3160.2211000000007</v>
      </c>
      <c r="M28" s="11" t="str">
        <f t="shared" si="6"/>
        <v>64</v>
      </c>
      <c r="N28" s="11" t="str">
        <f t="shared" si="7"/>
        <v>64</v>
      </c>
      <c r="O28" s="18"/>
      <c r="Q28" s="10"/>
    </row>
    <row r="29" spans="3:17">
      <c r="C29" s="5" t="str">
        <f t="shared" si="0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8" t="str">
        <f t="shared" si="1"/>
        <v>linux-m64s-standard</v>
      </c>
      <c r="I29" s="22">
        <f t="shared" si="2"/>
        <v>5842.1900000000005</v>
      </c>
      <c r="J29" s="18" t="str">
        <f t="shared" si="3"/>
        <v>windows-m64s-standard</v>
      </c>
      <c r="K29" s="23">
        <f t="shared" si="4"/>
        <v>1630.0024000000001</v>
      </c>
      <c r="L29" s="24">
        <f t="shared" si="5"/>
        <v>4212.1876000000002</v>
      </c>
      <c r="M29" s="11" t="str">
        <f t="shared" si="6"/>
        <v>64</v>
      </c>
      <c r="N29" s="11" t="str">
        <f t="shared" si="7"/>
        <v>64</v>
      </c>
      <c r="O29" s="18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2">
        <f t="shared" si="2"/>
        <v>1121.28</v>
      </c>
      <c r="J30" s="18" t="str">
        <f t="shared" si="3"/>
        <v>windows-f32sv2-standard</v>
      </c>
      <c r="K30" s="23" t="e">
        <f t="shared" si="4"/>
        <v>#VALUE!</v>
      </c>
      <c r="L30" s="24" t="e">
        <f t="shared" si="5"/>
        <v>#VALUE!</v>
      </c>
      <c r="M30" s="11" t="str">
        <f t="shared" si="6"/>
        <v>32</v>
      </c>
      <c r="N30" s="11" t="str">
        <f t="shared" si="7"/>
        <v>32</v>
      </c>
      <c r="O30" s="18"/>
      <c r="Q30" s="10"/>
    </row>
    <row r="31" spans="3:17">
      <c r="C31" s="5" t="str">
        <f t="shared" si="0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8" t="str">
        <f t="shared" si="1"/>
        <v>linux-f32sv2-standard</v>
      </c>
      <c r="I31" s="22">
        <f t="shared" si="2"/>
        <v>1121.28</v>
      </c>
      <c r="J31" s="18" t="str">
        <f t="shared" si="3"/>
        <v>windows-f32sv2-standard</v>
      </c>
      <c r="K31" s="23" t="e">
        <f t="shared" si="4"/>
        <v>#VALUE!</v>
      </c>
      <c r="L31" s="24" t="e">
        <f t="shared" si="5"/>
        <v>#VALUE!</v>
      </c>
      <c r="M31" s="11" t="str">
        <f t="shared" si="6"/>
        <v>32</v>
      </c>
      <c r="N31" s="11" t="str">
        <f t="shared" si="7"/>
        <v>32</v>
      </c>
      <c r="O31" s="18"/>
      <c r="Q31" s="10"/>
    </row>
    <row r="32" spans="3:17">
      <c r="C32" s="5" t="str">
        <f t="shared" si="0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8" t="str">
        <f t="shared" si="1"/>
        <v>linux-f32sv2-standard</v>
      </c>
      <c r="I32" s="22">
        <f t="shared" si="2"/>
        <v>1121.28</v>
      </c>
      <c r="J32" s="18" t="str">
        <f t="shared" si="3"/>
        <v>windows-f32sv2-standard</v>
      </c>
      <c r="K32" s="23" t="e">
        <f t="shared" si="4"/>
        <v>#VALUE!</v>
      </c>
      <c r="L32" s="24" t="e">
        <f t="shared" si="5"/>
        <v>#VALUE!</v>
      </c>
      <c r="M32" s="11" t="str">
        <f t="shared" si="6"/>
        <v>32</v>
      </c>
      <c r="N32" s="11" t="str">
        <f t="shared" si="7"/>
        <v>32</v>
      </c>
      <c r="O32" s="18"/>
      <c r="Q32" s="10"/>
    </row>
    <row r="33" spans="3:17">
      <c r="C33" s="5" t="str">
        <f t="shared" si="0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8" t="str">
        <f t="shared" si="1"/>
        <v>linux-f32sv2-standard</v>
      </c>
      <c r="I33" s="22">
        <f t="shared" si="2"/>
        <v>1121.28</v>
      </c>
      <c r="J33" s="18" t="str">
        <f t="shared" si="3"/>
        <v>windows-f32sv2-standard</v>
      </c>
      <c r="K33" s="23" t="e">
        <f t="shared" si="4"/>
        <v>#VALUE!</v>
      </c>
      <c r="L33" s="24" t="e">
        <f t="shared" si="5"/>
        <v>#VALUE!</v>
      </c>
      <c r="M33" s="11" t="str">
        <f t="shared" si="6"/>
        <v>32</v>
      </c>
      <c r="N33" s="11" t="str">
        <f t="shared" si="7"/>
        <v>32</v>
      </c>
      <c r="O33" s="18"/>
      <c r="Q33" s="10"/>
    </row>
    <row r="34" spans="3:17">
      <c r="C34" s="5" t="str">
        <f t="shared" si="0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8" t="str">
        <f t="shared" si="1"/>
        <v>linux-f32sv2-standard</v>
      </c>
      <c r="I34" s="22">
        <f t="shared" si="2"/>
        <v>1121.28</v>
      </c>
      <c r="J34" s="18" t="str">
        <f t="shared" si="3"/>
        <v>windows-f32sv2-standard</v>
      </c>
      <c r="K34" s="23" t="e">
        <f t="shared" si="4"/>
        <v>#VALUE!</v>
      </c>
      <c r="L34" s="24" t="e">
        <f t="shared" si="5"/>
        <v>#VALUE!</v>
      </c>
      <c r="M34" s="11" t="str">
        <f t="shared" si="6"/>
        <v>32</v>
      </c>
      <c r="N34" s="11" t="str">
        <f t="shared" si="7"/>
        <v>32</v>
      </c>
      <c r="O34" s="18"/>
      <c r="Q34" s="10"/>
    </row>
    <row r="35" spans="3:17">
      <c r="C35" s="5" t="str">
        <f t="shared" si="0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8" t="str">
        <f t="shared" si="1"/>
        <v>linux-f32sv2-standard</v>
      </c>
      <c r="I35" s="22">
        <f t="shared" si="2"/>
        <v>1121.28</v>
      </c>
      <c r="J35" s="18" t="str">
        <f t="shared" si="3"/>
        <v>windows-f32sv2-standard</v>
      </c>
      <c r="K35" s="23" t="e">
        <f t="shared" si="4"/>
        <v>#VALUE!</v>
      </c>
      <c r="L35" s="24" t="e">
        <f t="shared" si="5"/>
        <v>#VALUE!</v>
      </c>
      <c r="M35" s="11" t="str">
        <f t="shared" si="6"/>
        <v>32</v>
      </c>
      <c r="N35" s="11" t="str">
        <f t="shared" si="7"/>
        <v>32</v>
      </c>
      <c r="O35" s="18"/>
      <c r="Q35" s="10"/>
    </row>
    <row r="36" spans="3:17">
      <c r="C36" s="5" t="str">
        <f t="shared" si="0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8" t="str">
        <f t="shared" si="1"/>
        <v>linux-d32v3-standard</v>
      </c>
      <c r="I36" s="22">
        <f t="shared" si="2"/>
        <v>1249.76</v>
      </c>
      <c r="J36" s="18" t="str">
        <f t="shared" si="3"/>
        <v>windows-d32v3-standard</v>
      </c>
      <c r="K36" s="23">
        <f t="shared" si="4"/>
        <v>540.22190000000001</v>
      </c>
      <c r="L36" s="24">
        <f t="shared" si="5"/>
        <v>709.53809999999999</v>
      </c>
      <c r="M36" s="11" t="str">
        <f t="shared" si="6"/>
        <v>32</v>
      </c>
      <c r="N36" s="11" t="str">
        <f t="shared" si="7"/>
        <v>32</v>
      </c>
      <c r="O36" s="18"/>
      <c r="Q36" s="10"/>
    </row>
    <row r="37" spans="3:17">
      <c r="C37" s="5" t="str">
        <f t="shared" si="0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8" t="str">
        <f t="shared" si="1"/>
        <v>linux-e32v3-standard</v>
      </c>
      <c r="I37" s="22">
        <f t="shared" si="2"/>
        <v>1730.83</v>
      </c>
      <c r="J37" s="18" t="str">
        <f t="shared" si="3"/>
        <v>windows-e32v3-standard</v>
      </c>
      <c r="K37" s="23">
        <f t="shared" si="4"/>
        <v>650.83150000000001</v>
      </c>
      <c r="L37" s="24">
        <f t="shared" si="5"/>
        <v>1079.9984999999999</v>
      </c>
      <c r="M37" s="11" t="str">
        <f t="shared" si="6"/>
        <v>32</v>
      </c>
      <c r="N37" s="11" t="str">
        <f t="shared" si="7"/>
        <v>32</v>
      </c>
      <c r="O37" s="18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2">
        <f t="shared" si="2"/>
        <v>2242.56</v>
      </c>
      <c r="J38" s="18" t="str">
        <f t="shared" si="3"/>
        <v>windows-f64sv2-standard</v>
      </c>
      <c r="K38" s="23" t="e">
        <f t="shared" si="4"/>
        <v>#VALUE!</v>
      </c>
      <c r="L38" s="24" t="e">
        <f t="shared" si="5"/>
        <v>#VALUE!</v>
      </c>
      <c r="M38" s="11" t="str">
        <f t="shared" si="6"/>
        <v>64</v>
      </c>
      <c r="N38" s="11" t="str">
        <f t="shared" si="7"/>
        <v>64</v>
      </c>
      <c r="O38" s="18"/>
      <c r="Q38" s="10"/>
    </row>
    <row r="39" spans="3:17">
      <c r="C39" s="5" t="str">
        <f t="shared" si="0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8" t="str">
        <f t="shared" si="1"/>
        <v>linux-d64v3-standard</v>
      </c>
      <c r="I39" s="22">
        <f t="shared" si="2"/>
        <v>2499.52</v>
      </c>
      <c r="J39" s="18" t="str">
        <f t="shared" si="3"/>
        <v>windows-d64v3-standard</v>
      </c>
      <c r="K39" s="23">
        <f t="shared" si="4"/>
        <v>1080.4438</v>
      </c>
      <c r="L39" s="24">
        <f t="shared" si="5"/>
        <v>1419.0762</v>
      </c>
      <c r="M39" s="11" t="str">
        <f t="shared" si="6"/>
        <v>64</v>
      </c>
      <c r="N39" s="11" t="str">
        <f t="shared" si="7"/>
        <v>64</v>
      </c>
      <c r="O39" s="18"/>
      <c r="Q39" s="10"/>
    </row>
    <row r="40" spans="3:17">
      <c r="C40" s="5" t="str">
        <f t="shared" si="0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8" t="str">
        <f t="shared" si="1"/>
        <v>linux-m64ls-standard</v>
      </c>
      <c r="I40" s="22">
        <f t="shared" si="2"/>
        <v>4387.7745000000004</v>
      </c>
      <c r="J40" s="18" t="str">
        <f t="shared" si="3"/>
        <v>windows-m64ls-standard</v>
      </c>
      <c r="K40" s="23">
        <f t="shared" si="4"/>
        <v>1227.5534</v>
      </c>
      <c r="L40" s="24">
        <f t="shared" si="5"/>
        <v>3160.2211000000007</v>
      </c>
      <c r="M40" s="11" t="str">
        <f t="shared" si="6"/>
        <v>64</v>
      </c>
      <c r="N40" s="11" t="str">
        <f t="shared" si="7"/>
        <v>64</v>
      </c>
      <c r="O40" s="18"/>
      <c r="Q40" s="10"/>
    </row>
    <row r="41" spans="3:17">
      <c r="C41" s="5" t="str">
        <f t="shared" si="0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8" t="str">
        <f t="shared" si="1"/>
        <v>linux-m64s-standard</v>
      </c>
      <c r="I41" s="22">
        <f t="shared" si="2"/>
        <v>5842.1900000000005</v>
      </c>
      <c r="J41" s="18" t="str">
        <f t="shared" si="3"/>
        <v>windows-m64s-standard</v>
      </c>
      <c r="K41" s="23">
        <f t="shared" si="4"/>
        <v>1630.0024000000001</v>
      </c>
      <c r="L41" s="24">
        <f t="shared" si="5"/>
        <v>4212.1876000000002</v>
      </c>
      <c r="M41" s="11" t="str">
        <f t="shared" si="6"/>
        <v>64</v>
      </c>
      <c r="N41" s="11" t="str">
        <f t="shared" si="7"/>
        <v>64</v>
      </c>
      <c r="O41" s="18"/>
      <c r="Q41" s="10"/>
    </row>
    <row r="42" spans="3:17">
      <c r="C42" s="5" t="str">
        <f t="shared" si="0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8" t="str">
        <f t="shared" si="1"/>
        <v>linux-m128s-standard</v>
      </c>
      <c r="I42" s="22">
        <f t="shared" si="2"/>
        <v>11684.380000000001</v>
      </c>
      <c r="J42" s="18" t="str">
        <f t="shared" si="3"/>
        <v>windows-m128s-standard</v>
      </c>
      <c r="K42" s="23">
        <f t="shared" si="4"/>
        <v>3259.9974999999999</v>
      </c>
      <c r="L42" s="24">
        <f t="shared" si="5"/>
        <v>8424.3825000000015</v>
      </c>
      <c r="M42" s="11" t="str">
        <f t="shared" si="6"/>
        <v>128</v>
      </c>
      <c r="N42" s="11" t="str">
        <f t="shared" si="7"/>
        <v>128</v>
      </c>
      <c r="O42" s="18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linux-m128ms-standard</v>
      </c>
      <c r="I43" s="22">
        <f t="shared" si="2"/>
        <v>23378.687999999998</v>
      </c>
      <c r="J43" s="18" t="str">
        <f t="shared" si="3"/>
        <v>windows-m128ms-standard</v>
      </c>
      <c r="K43" s="23">
        <f t="shared" si="4"/>
        <v>6540.5007000000005</v>
      </c>
      <c r="L43" s="24">
        <f t="shared" si="5"/>
        <v>16838.187299999998</v>
      </c>
      <c r="M43" s="11" t="str">
        <f t="shared" si="6"/>
        <v>128</v>
      </c>
      <c r="N43" s="11" t="str">
        <f t="shared" si="7"/>
        <v>128</v>
      </c>
      <c r="O43" s="18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2">
        <f t="shared" si="2"/>
        <v>11684.380000000001</v>
      </c>
      <c r="J44" s="18" t="str">
        <f t="shared" si="3"/>
        <v>windows-m128s-standard</v>
      </c>
      <c r="K44" s="23">
        <f t="shared" si="4"/>
        <v>3259.9974999999999</v>
      </c>
      <c r="L44" s="24">
        <f t="shared" si="5"/>
        <v>8424.3825000000015</v>
      </c>
      <c r="M44" s="11" t="str">
        <f t="shared" si="6"/>
        <v>128</v>
      </c>
      <c r="N44" s="11" t="str">
        <f t="shared" si="7"/>
        <v>128</v>
      </c>
      <c r="O44" s="18"/>
      <c r="Q44" s="10"/>
    </row>
    <row r="45" spans="3:17">
      <c r="C45" s="5" t="str">
        <f t="shared" si="0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8" t="str">
        <f t="shared" si="1"/>
        <v>linux-m128s-standard</v>
      </c>
      <c r="I45" s="22">
        <f t="shared" si="2"/>
        <v>11684.380000000001</v>
      </c>
      <c r="J45" s="18" t="str">
        <f t="shared" si="3"/>
        <v>windows-m128s-standard</v>
      </c>
      <c r="K45" s="23">
        <f t="shared" si="4"/>
        <v>3259.9974999999999</v>
      </c>
      <c r="L45" s="24">
        <f t="shared" si="5"/>
        <v>8424.3825000000015</v>
      </c>
      <c r="M45" s="11" t="str">
        <f t="shared" si="6"/>
        <v>128</v>
      </c>
      <c r="N45" s="11" t="str">
        <f t="shared" si="7"/>
        <v>128</v>
      </c>
      <c r="O45" s="18"/>
      <c r="Q45" s="10"/>
    </row>
    <row r="46" spans="3:17">
      <c r="C46" s="5" t="str">
        <f t="shared" si="0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8" t="str">
        <f t="shared" si="1"/>
        <v>linux-m128s-standard</v>
      </c>
      <c r="I46" s="22">
        <f t="shared" si="2"/>
        <v>11684.380000000001</v>
      </c>
      <c r="J46" s="18" t="str">
        <f t="shared" si="3"/>
        <v>windows-m128s-standard</v>
      </c>
      <c r="K46" s="23">
        <f t="shared" si="4"/>
        <v>3259.9974999999999</v>
      </c>
      <c r="L46" s="24">
        <f t="shared" si="5"/>
        <v>8424.3825000000015</v>
      </c>
      <c r="M46" s="11" t="str">
        <f t="shared" si="6"/>
        <v>128</v>
      </c>
      <c r="N46" s="11" t="str">
        <f t="shared" si="7"/>
        <v>128</v>
      </c>
      <c r="O46" s="18"/>
      <c r="Q46" s="10"/>
    </row>
    <row r="47" spans="3:17">
      <c r="C47" s="5" t="str">
        <f t="shared" si="0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8" t="str">
        <f t="shared" si="1"/>
        <v>linux-m128s-standard</v>
      </c>
      <c r="I47" s="22">
        <f t="shared" si="2"/>
        <v>11684.380000000001</v>
      </c>
      <c r="J47" s="18" t="str">
        <f t="shared" si="3"/>
        <v>windows-m128s-standard</v>
      </c>
      <c r="K47" s="23">
        <f t="shared" si="4"/>
        <v>3259.9974999999999</v>
      </c>
      <c r="L47" s="24">
        <f t="shared" si="5"/>
        <v>8424.3825000000015</v>
      </c>
      <c r="M47" s="11" t="str">
        <f t="shared" si="6"/>
        <v>128</v>
      </c>
      <c r="N47" s="11" t="str">
        <f t="shared" si="7"/>
        <v>128</v>
      </c>
      <c r="O47" s="18"/>
      <c r="Q47" s="10"/>
    </row>
    <row r="48" spans="3:17">
      <c r="C48" s="5" t="str">
        <f t="shared" si="0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8" t="str">
        <f t="shared" si="1"/>
        <v>linux-m128s-standard</v>
      </c>
      <c r="I48" s="22">
        <f t="shared" si="2"/>
        <v>11684.380000000001</v>
      </c>
      <c r="J48" s="18" t="str">
        <f t="shared" si="3"/>
        <v>windows-m128s-standard</v>
      </c>
      <c r="K48" s="23">
        <f t="shared" si="4"/>
        <v>3259.9974999999999</v>
      </c>
      <c r="L48" s="24">
        <f t="shared" si="5"/>
        <v>8424.3825000000015</v>
      </c>
      <c r="M48" s="11" t="str">
        <f t="shared" si="6"/>
        <v>128</v>
      </c>
      <c r="N48" s="11" t="str">
        <f t="shared" si="7"/>
        <v>128</v>
      </c>
      <c r="O48" s="18"/>
      <c r="Q48" s="10"/>
    </row>
    <row r="49" spans="3:18">
      <c r="C49" s="5" t="str">
        <f t="shared" si="0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2">
        <f t="shared" si="2"/>
        <v>23378.687999999998</v>
      </c>
      <c r="J49" s="18" t="str">
        <f t="shared" si="3"/>
        <v>windows-m128ms-standard</v>
      </c>
      <c r="K49" s="23">
        <f t="shared" si="4"/>
        <v>6540.5007000000005</v>
      </c>
      <c r="L49" s="24">
        <f t="shared" si="5"/>
        <v>16838.187299999998</v>
      </c>
      <c r="M49" s="11" t="str">
        <f t="shared" si="6"/>
        <v>128</v>
      </c>
      <c r="N49" s="11" t="str">
        <f t="shared" si="7"/>
        <v>128</v>
      </c>
      <c r="O49" s="18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4.5"/>
  <cols>
    <col min="2" max="2" width="14.1796875" customWidth="1"/>
    <col min="3" max="3" width="22.453125" customWidth="1"/>
    <col min="4" max="4" width="14.1796875" customWidth="1"/>
    <col min="6" max="6" width="28.7265625" customWidth="1"/>
  </cols>
  <sheetData>
    <row r="2" spans="1:14">
      <c r="H2" s="21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122</v>
      </c>
      <c r="B5">
        <f t="shared" ref="B5:B11" si="1">B4*2</f>
        <v>64</v>
      </c>
      <c r="C5" s="17" t="str">
        <f t="shared" ref="C5:C10" si="2">getManagedDisk(B5,$A$4,$A$5)</f>
        <v>standardhdd-s6</v>
      </c>
      <c r="D5" s="17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7" t="str">
        <f>getManagedDisk(B11,$A$4,$A$5,"-S60")</f>
        <v>standardhdd-s50</v>
      </c>
      <c r="D11" s="17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19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7" t="str">
        <f t="shared" si="9"/>
        <v>premiumssd-p50</v>
      </c>
      <c r="D20" s="17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19" t="str">
        <f t="shared" ref="C21" si="11">getManagedDisk(B21,$A$4,$A$5,,"premium")</f>
        <v>premiumssd-p70</v>
      </c>
      <c r="D21" s="19">
        <f t="shared" ref="D21" si="12">getManagedDiskPriceMonth(C21,$A$4,$A$5)</f>
        <v>1802.057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1796875" customWidth="1"/>
    <col min="2" max="2" width="16.453125" customWidth="1"/>
    <col min="3" max="3" width="21.54296875" customWidth="1"/>
    <col min="4" max="4" width="24.17968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453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0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linux-f32sv2-standard</v>
      </c>
      <c r="G8" s="20">
        <f>getVMPriceHour(F8,D8,E8,$E$5)</f>
        <v>1.3088016</v>
      </c>
      <c r="H8" s="1">
        <f t="shared" si="0"/>
        <v>955.42516799999999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0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0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0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265625" defaultRowHeight="14.5"/>
  <cols>
    <col min="1" max="1" width="8.7265625" style="12"/>
    <col min="2" max="2" width="30.81640625" style="12" customWidth="1"/>
    <col min="3" max="4" width="24.81640625" style="12" bestFit="1" customWidth="1"/>
    <col min="5" max="5" width="17.81640625" style="12" bestFit="1" customWidth="1"/>
    <col min="6" max="6" width="42.54296875" style="12" bestFit="1" customWidth="1"/>
    <col min="7" max="7" width="27.26953125" style="12" customWidth="1"/>
    <col min="8" max="8" width="19" style="12" customWidth="1"/>
    <col min="9" max="16384" width="8.7265625" style="12"/>
  </cols>
  <sheetData>
    <row r="3" spans="2:9" ht="26.5">
      <c r="B3" s="15" t="s">
        <v>96</v>
      </c>
      <c r="G3" s="15" t="s">
        <v>95</v>
      </c>
      <c r="H3" s="15" t="s">
        <v>3</v>
      </c>
      <c r="I3" s="15" t="s">
        <v>113</v>
      </c>
    </row>
    <row r="4" spans="2:9">
      <c r="G4" s="12" t="s">
        <v>64</v>
      </c>
      <c r="H4" s="12" t="s">
        <v>97</v>
      </c>
      <c r="I4" s="13" t="s">
        <v>98</v>
      </c>
    </row>
    <row r="5" spans="2:9">
      <c r="G5" s="12" t="s">
        <v>65</v>
      </c>
      <c r="H5" s="12" t="s">
        <v>99</v>
      </c>
      <c r="I5" s="13" t="s">
        <v>100</v>
      </c>
    </row>
    <row r="6" spans="2:9" ht="23.5">
      <c r="B6" s="15" t="s">
        <v>56</v>
      </c>
      <c r="G6" s="12" t="s">
        <v>66</v>
      </c>
      <c r="H6" s="12" t="s">
        <v>101</v>
      </c>
      <c r="I6" s="13" t="s">
        <v>102</v>
      </c>
    </row>
    <row r="7" spans="2:9" ht="21">
      <c r="B7" s="16" t="s">
        <v>42</v>
      </c>
      <c r="G7" s="12" t="s">
        <v>67</v>
      </c>
      <c r="H7" s="12" t="s">
        <v>103</v>
      </c>
      <c r="I7" s="13" t="s">
        <v>104</v>
      </c>
    </row>
    <row r="8" spans="2:9">
      <c r="B8" s="12" t="s">
        <v>55</v>
      </c>
      <c r="G8" s="12" t="s">
        <v>68</v>
      </c>
      <c r="H8" s="12" t="s">
        <v>105</v>
      </c>
      <c r="I8" s="13" t="s">
        <v>105</v>
      </c>
    </row>
    <row r="9" spans="2:9">
      <c r="B9" s="12" t="s">
        <v>54</v>
      </c>
      <c r="G9" s="12" t="s">
        <v>69</v>
      </c>
      <c r="H9" s="12" t="s">
        <v>106</v>
      </c>
      <c r="I9" s="13" t="s">
        <v>106</v>
      </c>
    </row>
    <row r="10" spans="2:9">
      <c r="B10" s="12" t="s">
        <v>57</v>
      </c>
      <c r="G10" s="12" t="s">
        <v>70</v>
      </c>
      <c r="H10" s="12" t="s">
        <v>107</v>
      </c>
      <c r="I10" s="13" t="s">
        <v>108</v>
      </c>
    </row>
    <row r="11" spans="2:9">
      <c r="G11" s="12" t="s">
        <v>71</v>
      </c>
      <c r="H11" s="12" t="s">
        <v>109</v>
      </c>
      <c r="I11" s="13" t="s">
        <v>110</v>
      </c>
    </row>
    <row r="12" spans="2:9">
      <c r="B12" s="13" t="s">
        <v>63</v>
      </c>
      <c r="G12" s="12" t="s">
        <v>72</v>
      </c>
      <c r="H12" s="12" t="s">
        <v>111</v>
      </c>
      <c r="I12" s="13" t="s">
        <v>112</v>
      </c>
    </row>
    <row r="13" spans="2:9">
      <c r="B13" s="14" t="s">
        <v>37</v>
      </c>
      <c r="C13" s="12" t="s">
        <v>43</v>
      </c>
      <c r="G13" s="12" t="s">
        <v>73</v>
      </c>
    </row>
    <row r="14" spans="2:9">
      <c r="B14" s="13" t="s">
        <v>35</v>
      </c>
      <c r="C14" s="12" t="s">
        <v>44</v>
      </c>
      <c r="G14" s="12" t="s">
        <v>74</v>
      </c>
    </row>
    <row r="15" spans="2:9">
      <c r="B15" s="13" t="s">
        <v>36</v>
      </c>
      <c r="C15" s="12" t="s">
        <v>45</v>
      </c>
      <c r="G15" s="12" t="s">
        <v>75</v>
      </c>
    </row>
    <row r="16" spans="2:9">
      <c r="B16" s="13" t="s">
        <v>38</v>
      </c>
      <c r="C16" s="12" t="s">
        <v>46</v>
      </c>
      <c r="G16" s="12" t="s">
        <v>20</v>
      </c>
    </row>
    <row r="17" spans="2:7">
      <c r="G17" s="12" t="s">
        <v>0</v>
      </c>
    </row>
    <row r="18" spans="2:7">
      <c r="G18" s="12" t="s">
        <v>76</v>
      </c>
    </row>
    <row r="19" spans="2:7">
      <c r="G19" s="12" t="s">
        <v>77</v>
      </c>
    </row>
    <row r="20" spans="2:7" ht="23.5">
      <c r="B20" s="15" t="s">
        <v>58</v>
      </c>
      <c r="G20" s="12" t="s">
        <v>78</v>
      </c>
    </row>
    <row r="21" spans="2:7">
      <c r="B21" s="12" t="s">
        <v>59</v>
      </c>
      <c r="G21" s="12" t="s">
        <v>79</v>
      </c>
    </row>
    <row r="22" spans="2:7">
      <c r="B22" s="12" t="s">
        <v>60</v>
      </c>
      <c r="G22" s="12" t="s">
        <v>80</v>
      </c>
    </row>
    <row r="23" spans="2:7">
      <c r="B23" s="12" t="s">
        <v>61</v>
      </c>
      <c r="G23" s="12" t="s">
        <v>81</v>
      </c>
    </row>
    <row r="24" spans="2:7">
      <c r="G24" s="12" t="s">
        <v>82</v>
      </c>
    </row>
    <row r="25" spans="2:7">
      <c r="B25" s="14" t="s">
        <v>62</v>
      </c>
      <c r="G25" s="12" t="s">
        <v>83</v>
      </c>
    </row>
    <row r="26" spans="2:7">
      <c r="B26" s="14" t="s">
        <v>41</v>
      </c>
      <c r="C26" s="12" t="s">
        <v>47</v>
      </c>
      <c r="G26" s="12" t="s">
        <v>84</v>
      </c>
    </row>
    <row r="27" spans="2:7">
      <c r="B27" s="13" t="s">
        <v>40</v>
      </c>
      <c r="C27" s="12" t="s">
        <v>48</v>
      </c>
      <c r="G27" s="12" t="s">
        <v>85</v>
      </c>
    </row>
    <row r="28" spans="2:7">
      <c r="B28" s="13" t="s">
        <v>39</v>
      </c>
      <c r="C28" s="12" t="s">
        <v>49</v>
      </c>
      <c r="G28" s="12" t="s">
        <v>86</v>
      </c>
    </row>
    <row r="29" spans="2:7">
      <c r="B29" s="13" t="s">
        <v>24</v>
      </c>
      <c r="C29" s="12" t="s">
        <v>50</v>
      </c>
      <c r="G29" s="12" t="s">
        <v>9</v>
      </c>
    </row>
    <row r="30" spans="2:7">
      <c r="B30" s="13" t="s">
        <v>25</v>
      </c>
      <c r="C30" s="12" t="s">
        <v>51</v>
      </c>
      <c r="G30" s="12" t="s">
        <v>10</v>
      </c>
    </row>
    <row r="31" spans="2:7">
      <c r="B31" s="13" t="s">
        <v>26</v>
      </c>
      <c r="C31" s="12" t="s">
        <v>52</v>
      </c>
      <c r="G31" s="12" t="s">
        <v>87</v>
      </c>
    </row>
    <row r="32" spans="2:7">
      <c r="B32" s="13" t="s">
        <v>27</v>
      </c>
      <c r="C32" s="12" t="s">
        <v>53</v>
      </c>
      <c r="G32" s="12" t="s">
        <v>88</v>
      </c>
    </row>
    <row r="33" spans="2:7">
      <c r="G33" s="12" t="s">
        <v>89</v>
      </c>
    </row>
    <row r="34" spans="2:7" ht="23.5">
      <c r="B34" s="15" t="s">
        <v>121</v>
      </c>
      <c r="G34" s="12" t="s">
        <v>90</v>
      </c>
    </row>
    <row r="35" spans="2:7">
      <c r="G35" s="12" t="s">
        <v>91</v>
      </c>
    </row>
    <row r="36" spans="2:7">
      <c r="G36" s="12" t="s">
        <v>92</v>
      </c>
    </row>
    <row r="37" spans="2:7">
      <c r="G37" s="12" t="s">
        <v>93</v>
      </c>
    </row>
    <row r="38" spans="2:7">
      <c r="G38" s="12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2018-11-18T20:34:09Z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