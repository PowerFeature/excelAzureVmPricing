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s\Desktop\"/>
    </mc:Choice>
  </mc:AlternateContent>
  <xr:revisionPtr revIDLastSave="0" documentId="8_{C33ABA30-2711-427C-B6D9-D796BC10A282}" xr6:coauthVersionLast="38" xr6:coauthVersionMax="38" xr10:uidLastSave="{00000000-0000-0000-0000-000000000000}"/>
  <bookViews>
    <workbookView xWindow="0" yWindow="0" windowWidth="34320" windowHeight="17565" xr2:uid="{76FB606E-B3FC-4DBE-A184-7C562AE0ABA7}"/>
  </bookViews>
  <sheets>
    <sheet name="VM List" sheetId="3" r:id="rId1"/>
    <sheet name="Managed Disks" sheetId="5" r:id="rId2"/>
    <sheet name="TestSheet" sheetId="1" r:id="rId3"/>
    <sheet name="Cheat Sheet" sheetId="2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1" i="5" l="1"/>
  <c r="J8" i="3"/>
  <c r="J16" i="3"/>
  <c r="J24" i="3"/>
  <c r="J32" i="3"/>
  <c r="J40" i="3"/>
  <c r="J48" i="3"/>
  <c r="J43" i="3"/>
  <c r="J45" i="3"/>
  <c r="J14" i="3"/>
  <c r="J15" i="3"/>
  <c r="J9" i="3"/>
  <c r="J17" i="3"/>
  <c r="J25" i="3"/>
  <c r="J33" i="3"/>
  <c r="J41" i="3"/>
  <c r="J49" i="3"/>
  <c r="J29" i="3"/>
  <c r="J22" i="3"/>
  <c r="J23" i="3"/>
  <c r="J10" i="3"/>
  <c r="J18" i="3"/>
  <c r="J26" i="3"/>
  <c r="J34" i="3"/>
  <c r="J42" i="3"/>
  <c r="J27" i="3"/>
  <c r="J6" i="3"/>
  <c r="J46" i="3"/>
  <c r="J31" i="3"/>
  <c r="J11" i="3"/>
  <c r="J19" i="3"/>
  <c r="J35" i="3"/>
  <c r="J30" i="3"/>
  <c r="J39" i="3"/>
  <c r="J47" i="3"/>
  <c r="J12" i="3"/>
  <c r="J20" i="3"/>
  <c r="J28" i="3"/>
  <c r="J36" i="3"/>
  <c r="J44" i="3"/>
  <c r="J13" i="3"/>
  <c r="J21" i="3"/>
  <c r="J37" i="3"/>
  <c r="J38" i="3"/>
  <c r="J7" i="3"/>
  <c r="J5" i="3"/>
  <c r="H49" i="3"/>
  <c r="H41" i="3"/>
  <c r="H48" i="3"/>
  <c r="H40" i="3"/>
  <c r="H32" i="3"/>
  <c r="H24" i="3"/>
  <c r="H16" i="3"/>
  <c r="H8" i="3"/>
  <c r="H29" i="3"/>
  <c r="H36" i="3"/>
  <c r="H12" i="3"/>
  <c r="H11" i="3"/>
  <c r="I11" i="3" s="1"/>
  <c r="H34" i="3"/>
  <c r="H9" i="3"/>
  <c r="H47" i="3"/>
  <c r="H39" i="3"/>
  <c r="H31" i="3"/>
  <c r="H23" i="3"/>
  <c r="H15" i="3"/>
  <c r="H7" i="3"/>
  <c r="H6" i="3"/>
  <c r="H21" i="3"/>
  <c r="H28" i="3"/>
  <c r="H27" i="3"/>
  <c r="H18" i="3"/>
  <c r="H17" i="3"/>
  <c r="H46" i="3"/>
  <c r="H38" i="3"/>
  <c r="H30" i="3"/>
  <c r="H22" i="3"/>
  <c r="H14" i="3"/>
  <c r="H37" i="3"/>
  <c r="H13" i="3"/>
  <c r="H20" i="3"/>
  <c r="H19" i="3"/>
  <c r="H26" i="3"/>
  <c r="H25" i="3"/>
  <c r="H45" i="3"/>
  <c r="H42" i="3"/>
  <c r="H44" i="3"/>
  <c r="H43" i="3"/>
  <c r="H35" i="3"/>
  <c r="H10" i="3"/>
  <c r="H33" i="3"/>
  <c r="H5" i="3"/>
  <c r="C11" i="5"/>
  <c r="M49" i="3"/>
  <c r="N49" i="3"/>
  <c r="K41" i="3"/>
  <c r="M41" i="3"/>
  <c r="N41" i="3"/>
  <c r="K48" i="3"/>
  <c r="M48" i="3"/>
  <c r="N48" i="3"/>
  <c r="K40" i="3"/>
  <c r="M40" i="3"/>
  <c r="N40" i="3"/>
  <c r="K32" i="3"/>
  <c r="M32" i="3"/>
  <c r="N32" i="3"/>
  <c r="K24" i="3"/>
  <c r="M24" i="3"/>
  <c r="N24" i="3"/>
  <c r="K16" i="3"/>
  <c r="M16" i="3"/>
  <c r="N16" i="3"/>
  <c r="K8" i="3"/>
  <c r="M8" i="3"/>
  <c r="N8" i="3"/>
  <c r="K29" i="3"/>
  <c r="M29" i="3"/>
  <c r="N29" i="3"/>
  <c r="K36" i="3"/>
  <c r="M36" i="3"/>
  <c r="N36" i="3"/>
  <c r="K12" i="3"/>
  <c r="M12" i="3"/>
  <c r="N12" i="3"/>
  <c r="K11" i="3"/>
  <c r="M11" i="3"/>
  <c r="N11" i="3"/>
  <c r="K34" i="3"/>
  <c r="M34" i="3"/>
  <c r="N34" i="3"/>
  <c r="K9" i="3"/>
  <c r="M9" i="3"/>
  <c r="N9" i="3"/>
  <c r="K47" i="3"/>
  <c r="M47" i="3"/>
  <c r="N47" i="3"/>
  <c r="K39" i="3"/>
  <c r="M39" i="3"/>
  <c r="N39" i="3"/>
  <c r="K31" i="3"/>
  <c r="M31" i="3"/>
  <c r="N31" i="3"/>
  <c r="K23" i="3"/>
  <c r="M23" i="3"/>
  <c r="N23" i="3"/>
  <c r="K15" i="3"/>
  <c r="M15" i="3"/>
  <c r="N15" i="3"/>
  <c r="K7" i="3"/>
  <c r="M7" i="3"/>
  <c r="N7" i="3"/>
  <c r="K6" i="3"/>
  <c r="M6" i="3"/>
  <c r="N6" i="3"/>
  <c r="K21" i="3"/>
  <c r="M21" i="3"/>
  <c r="N21" i="3"/>
  <c r="K28" i="3"/>
  <c r="M28" i="3"/>
  <c r="N28" i="3"/>
  <c r="K27" i="3"/>
  <c r="M27" i="3"/>
  <c r="N27" i="3"/>
  <c r="K18" i="3"/>
  <c r="M18" i="3"/>
  <c r="N18" i="3"/>
  <c r="K17" i="3"/>
  <c r="M17" i="3"/>
  <c r="N17" i="3"/>
  <c r="K46" i="3"/>
  <c r="M46" i="3"/>
  <c r="N46" i="3"/>
  <c r="K38" i="3"/>
  <c r="M38" i="3"/>
  <c r="N38" i="3"/>
  <c r="K30" i="3"/>
  <c r="M30" i="3"/>
  <c r="N30" i="3"/>
  <c r="K22" i="3"/>
  <c r="M22" i="3"/>
  <c r="N22" i="3"/>
  <c r="K14" i="3"/>
  <c r="M14" i="3"/>
  <c r="N14" i="3"/>
  <c r="K37" i="3"/>
  <c r="M37" i="3"/>
  <c r="N37" i="3"/>
  <c r="K13" i="3"/>
  <c r="M13" i="3"/>
  <c r="N13" i="3"/>
  <c r="K20" i="3"/>
  <c r="M20" i="3"/>
  <c r="N20" i="3"/>
  <c r="K19" i="3"/>
  <c r="M19" i="3"/>
  <c r="N19" i="3"/>
  <c r="K26" i="3"/>
  <c r="M26" i="3"/>
  <c r="N26" i="3"/>
  <c r="K25" i="3"/>
  <c r="M25" i="3"/>
  <c r="N25" i="3"/>
  <c r="K45" i="3"/>
  <c r="M45" i="3"/>
  <c r="N45" i="3"/>
  <c r="K42" i="3"/>
  <c r="M42" i="3"/>
  <c r="N42" i="3"/>
  <c r="K44" i="3"/>
  <c r="M44" i="3"/>
  <c r="N44" i="3"/>
  <c r="K43" i="3"/>
  <c r="M43" i="3"/>
  <c r="N43" i="3"/>
  <c r="K35" i="3"/>
  <c r="M35" i="3"/>
  <c r="N35" i="3"/>
  <c r="K10" i="3"/>
  <c r="M10" i="3"/>
  <c r="N10" i="3"/>
  <c r="K33" i="3"/>
  <c r="M33" i="3"/>
  <c r="N33" i="3"/>
  <c r="K5" i="3"/>
  <c r="N5" i="3"/>
  <c r="M5" i="3"/>
  <c r="I5" i="3"/>
  <c r="L5" i="3" l="1"/>
  <c r="B21" i="5"/>
  <c r="C21" i="5"/>
  <c r="K21" i="5"/>
  <c r="G21" i="5"/>
  <c r="L21" i="5"/>
  <c r="F21" i="5"/>
  <c r="J21" i="5"/>
  <c r="D21" i="5"/>
  <c r="H21" i="5"/>
  <c r="I21" i="5"/>
  <c r="E21" i="5"/>
  <c r="B14" i="5" l="1"/>
  <c r="B15" i="5" s="1"/>
  <c r="B16" i="5" s="1"/>
  <c r="B17" i="5" s="1"/>
  <c r="B18" i="5" s="1"/>
  <c r="B19" i="5" s="1"/>
  <c r="B20" i="5" s="1"/>
  <c r="B5" i="5"/>
  <c r="B6" i="5" s="1"/>
  <c r="B7" i="5" s="1"/>
  <c r="B8" i="5" s="1"/>
  <c r="B9" i="5" s="1"/>
  <c r="B10" i="5" s="1"/>
  <c r="C6" i="5"/>
  <c r="C17" i="5"/>
  <c r="C15" i="5"/>
  <c r="C16" i="5"/>
  <c r="M11" i="5"/>
  <c r="G6" i="5"/>
  <c r="I17" i="5"/>
  <c r="M15" i="5"/>
  <c r="N16" i="5"/>
  <c r="F11" i="5"/>
  <c r="K6" i="5"/>
  <c r="K15" i="5"/>
  <c r="D17" i="5"/>
  <c r="C10" i="5"/>
  <c r="J11" i="5"/>
  <c r="I6" i="5"/>
  <c r="M17" i="5"/>
  <c r="N10" i="5"/>
  <c r="H15" i="5"/>
  <c r="E16" i="5"/>
  <c r="I16" i="5"/>
  <c r="C4" i="5"/>
  <c r="C8" i="5"/>
  <c r="H11" i="5"/>
  <c r="G17" i="5"/>
  <c r="G4" i="5"/>
  <c r="L8" i="5"/>
  <c r="C5" i="5"/>
  <c r="D6" i="5"/>
  <c r="I46" i="3"/>
  <c r="I39" i="3"/>
  <c r="E4" i="5"/>
  <c r="N11" i="5"/>
  <c r="J6" i="5"/>
  <c r="H17" i="5"/>
  <c r="F10" i="5"/>
  <c r="L5" i="5"/>
  <c r="I5" i="5"/>
  <c r="L15" i="5"/>
  <c r="F4" i="5"/>
  <c r="K8" i="5"/>
  <c r="H16" i="5"/>
  <c r="M16" i="5"/>
  <c r="I8" i="3"/>
  <c r="C13" i="5"/>
  <c r="C7" i="5"/>
  <c r="C9" i="5"/>
  <c r="G10" i="5"/>
  <c r="F15" i="5"/>
  <c r="L7" i="5"/>
  <c r="L16" i="5"/>
  <c r="C14" i="5"/>
  <c r="I7" i="3"/>
  <c r="E17" i="5"/>
  <c r="L14" i="5"/>
  <c r="G11" i="5"/>
  <c r="L6" i="5"/>
  <c r="L17" i="5"/>
  <c r="I10" i="5"/>
  <c r="M13" i="5"/>
  <c r="H5" i="5"/>
  <c r="G15" i="5"/>
  <c r="K4" i="5"/>
  <c r="I4" i="5"/>
  <c r="M7" i="5"/>
  <c r="H9" i="5"/>
  <c r="M8" i="5"/>
  <c r="F16" i="5"/>
  <c r="D15" i="5"/>
  <c r="C19" i="5"/>
  <c r="D9" i="5"/>
  <c r="L11" i="5"/>
  <c r="N17" i="5"/>
  <c r="L13" i="5"/>
  <c r="I15" i="5"/>
  <c r="I9" i="5"/>
  <c r="J16" i="5"/>
  <c r="I48" i="3"/>
  <c r="E19" i="5"/>
  <c r="K14" i="5"/>
  <c r="I11" i="5"/>
  <c r="H6" i="5"/>
  <c r="N6" i="5"/>
  <c r="F17" i="5"/>
  <c r="J10" i="5"/>
  <c r="F13" i="5"/>
  <c r="G19" i="5"/>
  <c r="J5" i="5"/>
  <c r="J15" i="5"/>
  <c r="L4" i="5"/>
  <c r="F7" i="5"/>
  <c r="N7" i="5"/>
  <c r="J9" i="5"/>
  <c r="N8" i="5"/>
  <c r="G16" i="5"/>
  <c r="E15" i="5"/>
  <c r="D14" i="5"/>
  <c r="I19" i="3"/>
  <c r="I40" i="3"/>
  <c r="G14" i="5"/>
  <c r="F6" i="5"/>
  <c r="L10" i="5"/>
  <c r="M5" i="5"/>
  <c r="H7" i="5"/>
  <c r="M9" i="5"/>
  <c r="I27" i="3"/>
  <c r="E13" i="5"/>
  <c r="D13" i="5"/>
  <c r="C20" i="5"/>
  <c r="I20" i="3"/>
  <c r="J14" i="5"/>
  <c r="K11" i="5"/>
  <c r="M6" i="5"/>
  <c r="J17" i="5"/>
  <c r="K17" i="5"/>
  <c r="K10" i="5"/>
  <c r="H13" i="5"/>
  <c r="M19" i="5"/>
  <c r="K5" i="5"/>
  <c r="N15" i="5"/>
  <c r="N4" i="5"/>
  <c r="G7" i="5"/>
  <c r="L20" i="5"/>
  <c r="H20" i="5"/>
  <c r="K9" i="5"/>
  <c r="F8" i="5"/>
  <c r="K16" i="5"/>
  <c r="D20" i="5"/>
  <c r="C18" i="5"/>
  <c r="J18" i="5" s="1"/>
  <c r="E11" i="5"/>
  <c r="I30" i="3"/>
  <c r="I38" i="3"/>
  <c r="N18" i="5"/>
  <c r="H10" i="5"/>
  <c r="H19" i="5"/>
  <c r="J4" i="5"/>
  <c r="K20" i="5"/>
  <c r="G8" i="5"/>
  <c r="E20" i="5"/>
  <c r="M10" i="5"/>
  <c r="E10" i="5"/>
  <c r="M4" i="5"/>
  <c r="H4" i="5"/>
  <c r="J8" i="5"/>
  <c r="I8" i="5"/>
  <c r="H8" i="5"/>
  <c r="N5" i="5"/>
  <c r="G5" i="5"/>
  <c r="E5" i="5"/>
  <c r="F5" i="5"/>
  <c r="N13" i="5"/>
  <c r="G13" i="5"/>
  <c r="I13" i="5"/>
  <c r="K13" i="5"/>
  <c r="J13" i="5"/>
  <c r="K7" i="5"/>
  <c r="J7" i="5"/>
  <c r="D7" i="5"/>
  <c r="I7" i="5"/>
  <c r="L9" i="5"/>
  <c r="N9" i="5"/>
  <c r="G9" i="5"/>
  <c r="F9" i="5"/>
  <c r="H14" i="5"/>
  <c r="I14" i="5"/>
  <c r="M14" i="5"/>
  <c r="E14" i="5"/>
  <c r="F14" i="5"/>
  <c r="N14" i="5"/>
  <c r="F19" i="5"/>
  <c r="D19" i="5"/>
  <c r="I19" i="5"/>
  <c r="N19" i="5"/>
  <c r="K19" i="5"/>
  <c r="J19" i="5"/>
  <c r="L19" i="5"/>
  <c r="M20" i="5"/>
  <c r="G20" i="5"/>
  <c r="N20" i="5"/>
  <c r="J20" i="5"/>
  <c r="I20" i="5"/>
  <c r="F20" i="5"/>
  <c r="K18" i="5"/>
  <c r="L18" i="5"/>
  <c r="F18" i="5"/>
  <c r="H18" i="5"/>
  <c r="M18" i="5"/>
  <c r="E18" i="5"/>
  <c r="G18" i="5"/>
  <c r="I18" i="5"/>
  <c r="L38" i="3" l="1"/>
  <c r="L30" i="3"/>
  <c r="L20" i="3"/>
  <c r="L27" i="3"/>
  <c r="L40" i="3"/>
  <c r="L19" i="3"/>
  <c r="L48" i="3"/>
  <c r="L7" i="3"/>
  <c r="L8" i="3"/>
  <c r="L39" i="3"/>
  <c r="L46" i="3"/>
  <c r="C44" i="3"/>
  <c r="C39" i="3"/>
  <c r="C38" i="3"/>
  <c r="C30" i="3"/>
  <c r="C25" i="3"/>
  <c r="C18" i="3"/>
  <c r="C17" i="3"/>
  <c r="C13" i="3"/>
  <c r="C12" i="3"/>
  <c r="C8" i="3"/>
  <c r="C6" i="3"/>
  <c r="C5" i="3"/>
  <c r="I16" i="3"/>
  <c r="I14" i="3"/>
  <c r="E8" i="5"/>
  <c r="I36" i="3"/>
  <c r="E7" i="5"/>
  <c r="I15" i="3"/>
  <c r="I41" i="3"/>
  <c r="I9" i="3"/>
  <c r="D4" i="5"/>
  <c r="I13" i="3"/>
  <c r="I45" i="3"/>
  <c r="D10" i="5"/>
  <c r="I12" i="3"/>
  <c r="I24" i="3"/>
  <c r="I29" i="3"/>
  <c r="I33" i="3"/>
  <c r="I42" i="3"/>
  <c r="I22" i="3"/>
  <c r="I28" i="3"/>
  <c r="E6" i="5"/>
  <c r="I47" i="3"/>
  <c r="D11" i="5"/>
  <c r="D18" i="5"/>
  <c r="I31" i="3"/>
  <c r="I49" i="3"/>
  <c r="I10" i="3"/>
  <c r="I23" i="3"/>
  <c r="I37" i="3"/>
  <c r="E9" i="5"/>
  <c r="D5" i="5"/>
  <c r="I35" i="3"/>
  <c r="I6" i="3"/>
  <c r="I25" i="3"/>
  <c r="I43" i="3"/>
  <c r="D8" i="5"/>
  <c r="I21" i="3"/>
  <c r="I32" i="3"/>
  <c r="I18" i="3"/>
  <c r="I26" i="3"/>
  <c r="I34" i="3"/>
  <c r="I17" i="3"/>
  <c r="D16" i="5"/>
  <c r="I44" i="3"/>
  <c r="L44" i="3" l="1"/>
  <c r="L17" i="3"/>
  <c r="L34" i="3"/>
  <c r="L26" i="3"/>
  <c r="L18" i="3"/>
  <c r="L32" i="3"/>
  <c r="L21" i="3"/>
  <c r="L43" i="3"/>
  <c r="L25" i="3"/>
  <c r="L6" i="3"/>
  <c r="L35" i="3"/>
  <c r="L37" i="3"/>
  <c r="L23" i="3"/>
  <c r="L10" i="3"/>
  <c r="L31" i="3"/>
  <c r="L47" i="3"/>
  <c r="L28" i="3"/>
  <c r="L11" i="3"/>
  <c r="L22" i="3"/>
  <c r="L42" i="3"/>
  <c r="L33" i="3"/>
  <c r="L29" i="3"/>
  <c r="L24" i="3"/>
  <c r="L12" i="3"/>
  <c r="L45" i="3"/>
  <c r="L13" i="3"/>
  <c r="L9" i="3"/>
  <c r="L41" i="3"/>
  <c r="L15" i="3"/>
  <c r="L36" i="3"/>
  <c r="L14" i="3"/>
  <c r="L16" i="3"/>
  <c r="C19" i="3"/>
  <c r="C40" i="3"/>
  <c r="C46" i="3"/>
  <c r="C27" i="3"/>
  <c r="C32" i="3"/>
  <c r="C28" i="3"/>
  <c r="C33" i="3"/>
  <c r="C10" i="3"/>
  <c r="C14" i="3"/>
  <c r="C9" i="3"/>
  <c r="C26" i="3"/>
  <c r="C31" i="3"/>
  <c r="C45" i="3"/>
  <c r="F8" i="1"/>
  <c r="F7" i="1"/>
  <c r="C48" i="3" l="1"/>
  <c r="C41" i="3"/>
  <c r="C7" i="3"/>
  <c r="C47" i="3"/>
  <c r="C11" i="3"/>
  <c r="C15" i="3"/>
  <c r="C34" i="3"/>
  <c r="C20" i="3"/>
  <c r="E19" i="1"/>
  <c r="E21" i="1"/>
  <c r="F10" i="1"/>
  <c r="F21" i="1"/>
  <c r="G7" i="1"/>
  <c r="F19" i="1"/>
  <c r="I8" i="1"/>
  <c r="E17" i="1"/>
  <c r="N17" i="1" s="1"/>
  <c r="I10" i="1"/>
  <c r="O21" i="1"/>
  <c r="E28" i="1"/>
  <c r="F28" i="1"/>
  <c r="E25" i="1"/>
  <c r="J28" i="1"/>
  <c r="G8" i="1"/>
  <c r="J17" i="1"/>
  <c r="F9" i="1"/>
  <c r="F17" i="1"/>
  <c r="N28" i="1"/>
  <c r="K28" i="1"/>
  <c r="K19" i="1"/>
  <c r="K21" i="1"/>
  <c r="G19" i="1"/>
  <c r="M21" i="1"/>
  <c r="K9" i="1"/>
  <c r="J10" i="1"/>
  <c r="O19" i="1"/>
  <c r="M17" i="1"/>
  <c r="L19" i="1"/>
  <c r="O25" i="1"/>
  <c r="M28" i="1"/>
  <c r="G28" i="1"/>
  <c r="K7" i="1"/>
  <c r="E27" i="1"/>
  <c r="F27" i="1" s="1"/>
  <c r="J8" i="1"/>
  <c r="J9" i="1"/>
  <c r="G25" i="1"/>
  <c r="E20" i="1"/>
  <c r="O27" i="1"/>
  <c r="K25" i="1"/>
  <c r="N25" i="1"/>
  <c r="L17" i="1"/>
  <c r="E18" i="1"/>
  <c r="J18" i="1"/>
  <c r="L27" i="1"/>
  <c r="O17" i="1"/>
  <c r="M27" i="1"/>
  <c r="N21" i="1"/>
  <c r="F11" i="1"/>
  <c r="F20" i="1"/>
  <c r="E26" i="1"/>
  <c r="E29" i="1"/>
  <c r="K17" i="1"/>
  <c r="K20" i="1"/>
  <c r="J19" i="1"/>
  <c r="F29" i="1"/>
  <c r="M19" i="1"/>
  <c r="J7" i="1"/>
  <c r="K8" i="1"/>
  <c r="K27" i="1"/>
  <c r="J21" i="1"/>
  <c r="L21" i="1"/>
  <c r="M25" i="1"/>
  <c r="N19" i="1"/>
  <c r="K18" i="1"/>
  <c r="N20" i="1"/>
  <c r="O28" i="1"/>
  <c r="G17" i="1"/>
  <c r="F18" i="1"/>
  <c r="J25" i="1"/>
  <c r="L25" i="1"/>
  <c r="J27" i="1"/>
  <c r="N27" i="1"/>
  <c r="O20" i="1"/>
  <c r="M20" i="1"/>
  <c r="L20" i="1"/>
  <c r="G18" i="1"/>
  <c r="N18" i="1"/>
  <c r="L18" i="1"/>
  <c r="O18" i="1"/>
  <c r="G11" i="1"/>
  <c r="I11" i="1"/>
  <c r="K11" i="1"/>
  <c r="M26" i="1"/>
  <c r="G26" i="1"/>
  <c r="N26" i="1"/>
  <c r="L26" i="1"/>
  <c r="J26" i="1"/>
  <c r="O26" i="1"/>
  <c r="M29" i="1"/>
  <c r="L29" i="1"/>
  <c r="O29" i="1"/>
  <c r="G29" i="1"/>
  <c r="J20" i="1"/>
  <c r="G20" i="1"/>
  <c r="F26" i="1"/>
  <c r="K26" i="1"/>
  <c r="J29" i="1"/>
  <c r="N29" i="1"/>
  <c r="K29" i="1"/>
  <c r="C29" i="3" l="1"/>
  <c r="C21" i="3"/>
  <c r="C16" i="3"/>
  <c r="C42" i="3"/>
  <c r="C35" i="3"/>
  <c r="H20" i="1"/>
  <c r="H29" i="1"/>
  <c r="H17" i="1"/>
  <c r="H11" i="1"/>
  <c r="H7" i="1"/>
  <c r="H18" i="1"/>
  <c r="H8" i="1"/>
  <c r="H28" i="1"/>
  <c r="H19" i="1"/>
  <c r="H26" i="1"/>
  <c r="G27" i="1"/>
  <c r="F25" i="1"/>
  <c r="I7" i="1"/>
  <c r="I9" i="1"/>
  <c r="G9" i="1"/>
  <c r="J11" i="1"/>
  <c r="M18" i="1"/>
  <c r="K10" i="1"/>
  <c r="G10" i="1"/>
  <c r="G21" i="1"/>
  <c r="L28" i="1"/>
  <c r="H21" i="1" l="1"/>
  <c r="H9" i="1"/>
  <c r="H27" i="1"/>
  <c r="H25" i="1"/>
  <c r="H10" i="1"/>
  <c r="C49" i="3"/>
  <c r="C36" i="3"/>
  <c r="C43" i="3"/>
  <c r="C22" i="3"/>
  <c r="C23" i="3" l="1"/>
  <c r="C37" i="3"/>
  <c r="C24" i="3" l="1"/>
  <c r="K49" i="3"/>
  <c r="L49" i="3" l="1"/>
</calcChain>
</file>

<file path=xl/sharedStrings.xml><?xml version="1.0" encoding="utf-8"?>
<sst xmlns="http://schemas.openxmlformats.org/spreadsheetml/2006/main" count="160" uniqueCount="130">
  <si>
    <t>europe-west</t>
  </si>
  <si>
    <t>Month</t>
  </si>
  <si>
    <t>Hour</t>
  </si>
  <si>
    <t>Currency</t>
  </si>
  <si>
    <t>Reserved Instance Y</t>
  </si>
  <si>
    <t>Cores</t>
  </si>
  <si>
    <t>isVCPU</t>
  </si>
  <si>
    <t>GB RAM</t>
  </si>
  <si>
    <t>eur</t>
  </si>
  <si>
    <t>us-east</t>
  </si>
  <si>
    <t>us-east-2</t>
  </si>
  <si>
    <t>Minimum Cores</t>
  </si>
  <si>
    <t>Minimum Ram</t>
  </si>
  <si>
    <t>Not a burstable</t>
  </si>
  <si>
    <t>Cheapest Disk</t>
  </si>
  <si>
    <t>Disk Size GB</t>
  </si>
  <si>
    <t>Region</t>
  </si>
  <si>
    <t>Cost</t>
  </si>
  <si>
    <t>Size</t>
  </si>
  <si>
    <t>Cheapest Premium Disk</t>
  </si>
  <si>
    <t>europe-north</t>
  </si>
  <si>
    <t>Cost / GB</t>
  </si>
  <si>
    <t>IOPS</t>
  </si>
  <si>
    <t>Speed</t>
  </si>
  <si>
    <t>transactionPrice</t>
  </si>
  <si>
    <t>snapshotPrice</t>
  </si>
  <si>
    <t>snapshotPriceLrs</t>
  </si>
  <si>
    <t>snapshotPriceZrs</t>
  </si>
  <si>
    <t>Criteria</t>
  </si>
  <si>
    <t>Not A-series, not promo</t>
  </si>
  <si>
    <t>Must have Windows</t>
  </si>
  <si>
    <t>Name</t>
  </si>
  <si>
    <t>Ram</t>
  </si>
  <si>
    <t>Count</t>
  </si>
  <si>
    <t>Disk Size</t>
  </si>
  <si>
    <t>ram</t>
  </si>
  <si>
    <t>diskSize</t>
  </si>
  <si>
    <t>cores</t>
  </si>
  <si>
    <t>isVcpu</t>
  </si>
  <si>
    <t>iops</t>
  </si>
  <si>
    <t>speed</t>
  </si>
  <si>
    <t>size</t>
  </si>
  <si>
    <t>VM</t>
  </si>
  <si>
    <t>Number of Cores</t>
  </si>
  <si>
    <t>Memory in GB</t>
  </si>
  <si>
    <t>Size of the temp drive in GB</t>
  </si>
  <si>
    <t>Indicates if a VM has vCPU</t>
  </si>
  <si>
    <t>Size of the disk in GB</t>
  </si>
  <si>
    <t>Speed of the disk in mb/s (only premium disks)</t>
  </si>
  <si>
    <t>Provisioned IOPS (Premium only)</t>
  </si>
  <si>
    <t>Price of transactions (check unit in the calculator</t>
  </si>
  <si>
    <t>Price pr snapshot</t>
  </si>
  <si>
    <t>Price pr snapshot LRS</t>
  </si>
  <si>
    <t>Price pr snapshot ZRS</t>
  </si>
  <si>
    <t>"=getVMPriceHour(&lt;VM Name&gt;;&lt;Reserved instance Years&gt;;&lt;Azure Reguion&gt;;&lt;CurrencyID&gt;)"</t>
  </si>
  <si>
    <t>"=getVM(&lt;minCores&gt;;&lt;minRam&gt;;&lt;Reserved Instance Years&gt;;&lt;Azure Region&gt;;&lt;CurrencyID&gt;;[&lt;Exclude Keywords seperated by ; &gt;;&lt;Include Keywords seperated by ;])"</t>
  </si>
  <si>
    <t>Commands (Enter without the outer quotes)</t>
  </si>
  <si>
    <t>"=getVMData(&lt;VM Name&gt;;&lt;Azure Region&gt;;&lt;CurrencyID&gt;;&lt;VM Data Keyword&gt;)"</t>
  </si>
  <si>
    <t>Managed Disks</t>
  </si>
  <si>
    <t>"=getManagedDisk(&lt;Minimum Size in GB&gt;;&lt;Azure Region&gt;;&lt;Currency ID&gt;)"</t>
  </si>
  <si>
    <t>"=getManagedDiskPriceMonth(&lt;Managed Disk Name&gt;;&lt;Azure Region&gt;;&lt;Currency ID&gt;)"</t>
  </si>
  <si>
    <t>"=getMDiskData(&lt;Managed Disk Name&gt;;&lt;Azure Region&gt;;&lt;Currency ID&gt;;&lt;mDisk Data Keyword&gt;)"</t>
  </si>
  <si>
    <t>Managed Disk Data Keywords</t>
  </si>
  <si>
    <t>VM Data Keybords</t>
  </si>
  <si>
    <t>asia-pacific-east</t>
  </si>
  <si>
    <t>asia-pacific-southeast</t>
  </si>
  <si>
    <t>australia-central</t>
  </si>
  <si>
    <t>australia-central-2</t>
  </si>
  <si>
    <t>australia-east</t>
  </si>
  <si>
    <t>australia-southeast</t>
  </si>
  <si>
    <t>brazil-south</t>
  </si>
  <si>
    <t>canada-central</t>
  </si>
  <si>
    <t>canada-east</t>
  </si>
  <si>
    <t>central-india</t>
  </si>
  <si>
    <t>south-india</t>
  </si>
  <si>
    <t>west-india</t>
  </si>
  <si>
    <t>france-central</t>
  </si>
  <si>
    <t>france-south</t>
  </si>
  <si>
    <t>germany-central</t>
  </si>
  <si>
    <t>germany-northeast</t>
  </si>
  <si>
    <t>japan-east</t>
  </si>
  <si>
    <t>japan-west</t>
  </si>
  <si>
    <t>korea-central</t>
  </si>
  <si>
    <t>korea-south</t>
  </si>
  <si>
    <t>united-kingdom-south</t>
  </si>
  <si>
    <t>united-kingdom-west</t>
  </si>
  <si>
    <t>us-central</t>
  </si>
  <si>
    <t>us-north-central</t>
  </si>
  <si>
    <t>us-south-central</t>
  </si>
  <si>
    <t>us-west-central</t>
  </si>
  <si>
    <t>us-west</t>
  </si>
  <si>
    <t>us-west-2</t>
  </si>
  <si>
    <t>usgov-arizona</t>
  </si>
  <si>
    <t>usgov-texas</t>
  </si>
  <si>
    <t>usgov-virginia</t>
  </si>
  <si>
    <t>Regions</t>
  </si>
  <si>
    <r>
      <t xml:space="preserve">Get Formular Help by pressing the </t>
    </r>
    <r>
      <rPr>
        <b/>
        <i/>
        <sz val="18"/>
        <color theme="1"/>
        <rFont val="Calibri"/>
        <family val="2"/>
        <scheme val="minor"/>
      </rPr>
      <t>f</t>
    </r>
    <r>
      <rPr>
        <b/>
        <i/>
        <vertAlign val="subscript"/>
        <sz val="18"/>
        <color theme="1"/>
        <rFont val="Calibri"/>
        <family val="2"/>
        <scheme val="minor"/>
      </rPr>
      <t>x</t>
    </r>
  </si>
  <si>
    <t>New Zealand Dollars</t>
  </si>
  <si>
    <t>NZD</t>
  </si>
  <si>
    <t>Australian Dollars</t>
  </si>
  <si>
    <t>AUD</t>
  </si>
  <si>
    <t>Euros</t>
  </si>
  <si>
    <t>EUR</t>
  </si>
  <si>
    <t>Sterling</t>
  </si>
  <si>
    <t>GBP</t>
  </si>
  <si>
    <t>USD</t>
  </si>
  <si>
    <t>HKD</t>
  </si>
  <si>
    <t>Canadian Dollar</t>
  </si>
  <si>
    <t>CAD</t>
  </si>
  <si>
    <t>Japanese Yen</t>
  </si>
  <si>
    <t>JPY</t>
  </si>
  <si>
    <t>Danish Krone</t>
  </si>
  <si>
    <t>DKK</t>
  </si>
  <si>
    <t>CurrencyID</t>
  </si>
  <si>
    <t>Reserved Instance</t>
  </si>
  <si>
    <t>Utilization</t>
  </si>
  <si>
    <t>displayName</t>
  </si>
  <si>
    <t>isPreview</t>
  </si>
  <si>
    <t>Source Disk Size</t>
  </si>
  <si>
    <t>Recommended Product</t>
  </si>
  <si>
    <t>Price / Month</t>
  </si>
  <si>
    <t>Preview Prices</t>
  </si>
  <si>
    <t>usd</t>
  </si>
  <si>
    <t>Cost / month</t>
  </si>
  <si>
    <t>Eqivalent Linux VM</t>
  </si>
  <si>
    <t>Eqivalent Windows VM</t>
  </si>
  <si>
    <t>Linux Cost/Month RI 3Y</t>
  </si>
  <si>
    <t>Savings from RI Y3</t>
  </si>
  <si>
    <t>VM Cores</t>
  </si>
  <si>
    <t>VM 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</si>
</sst>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&quot;kr.&quot;_-;\-* #,##0.00\ &quot;kr.&quot;_-;_-* &quot;-&quot;??\ &quot;kr.&quot;_-;_-@_-"/>
    <numFmt numFmtId="165" formatCode="_-[$€-2]\ * #,##0.00_-;\-[$€-2]\ * #,##0.00_-;_-[$€-2]\ * &quot;-&quot;??_-;_-@_-"/>
    <numFmt numFmtId="166" formatCode="_-* #,##0.00\ [$kr.-406]_-;\-* #,##0.00\ [$kr.-406]_-;_-* &quot;-&quot;??\ [$kr.-406]_-;_-@_-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 Unicode MS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vertAlign val="subscript"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1"/>
      <color indexed="10"/>
      <name val="Calibri"/>
      <family val="2"/>
      <scheme val="minor"/>
    </font>
    <font>
      <sz val="7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65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/>
    <xf numFmtId="166" fontId="5" fillId="0" borderId="0" xfId="0" applyNumberFormat="1" applyFont="1"/>
    <xf numFmtId="164" fontId="5" fillId="0" borderId="0" xfId="1" applyFont="1"/>
    <xf numFmtId="164" fontId="5" fillId="0" borderId="0" xfId="1" applyNumberFormat="1" applyFont="1"/>
    <xf numFmtId="164" fontId="4" fillId="0" borderId="0" xfId="1" applyNumberFormat="1" applyFont="1"/>
    <xf numFmtId="9" fontId="5" fillId="0" borderId="0" xfId="2" applyFont="1"/>
    <xf numFmtId="166" fontId="5" fillId="0" borderId="0" xfId="2" applyNumberFormat="1" applyFont="1"/>
    <xf numFmtId="0" fontId="0" fillId="0" borderId="0" xfId="0" applyBorder="1"/>
    <xf numFmtId="0" fontId="2" fillId="0" borderId="0" xfId="0" applyFont="1" applyBorder="1"/>
    <xf numFmtId="0" fontId="3" fillId="0" borderId="0" xfId="0" applyFont="1" applyBorder="1" applyAlignment="1">
      <alignment vertical="center"/>
    </xf>
    <xf numFmtId="0" fontId="6" fillId="0" borderId="0" xfId="0" applyFont="1" applyBorder="1"/>
    <xf numFmtId="0" fontId="9" fillId="0" borderId="0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165" fontId="10" fillId="0" borderId="0" xfId="1" applyNumberFormat="1" applyFont="1"/>
    <xf numFmtId="0" fontId="13" fillId="0" borderId="0" xfId="0" applyFont="1"/>
    <xf numFmtId="0" fontId="11" fillId="0" borderId="0" xfId="1" applyNumberFormat="1" applyFont="1"/>
    <xf numFmtId="0" fontId="11" fillId="0" borderId="0" xfId="0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387804</xdr:colOff>
      <xdr:row>9</xdr:row>
      <xdr:rowOff>81643</xdr:rowOff>
    </xdr:from>
    <xdr:to>
      <xdr:col>5</xdr:col>
      <xdr:colOff>326572</xdr:colOff>
      <xdr:row>12</xdr:row>
      <xdr:rowOff>74839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F7D1182-1CCB-411C-A1EA-45BF8E88012E}"/>
            </a:ext>
          </a:extLst>
        </xdr:cNvPr>
        <xdr:cNvSpPr txBox="1"/>
      </xdr:nvSpPr>
      <xdr:spPr>
        <a:xfrm>
          <a:off x="1544411" y="1428750"/>
          <a:ext cx="2095500" cy="4422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1: Use</a:t>
          </a:r>
          <a:r>
            <a:rPr lang="en-US" sz="800" b="1" baseline="0">
              <a:solidFill>
                <a:srgbClr val="FF0000"/>
              </a:solidFill>
            </a:rPr>
            <a:t> an onprem inventory list with core and ram in seperate columns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312965</xdr:colOff>
      <xdr:row>13</xdr:row>
      <xdr:rowOff>61232</xdr:rowOff>
    </xdr:from>
    <xdr:to>
      <xdr:col>8</xdr:col>
      <xdr:colOff>167368</xdr:colOff>
      <xdr:row>15</xdr:row>
      <xdr:rowOff>119741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5B9B9E83-3076-4A56-9135-BE32A09B113E}"/>
            </a:ext>
          </a:extLst>
        </xdr:cNvPr>
        <xdr:cNvSpPr txBox="1"/>
      </xdr:nvSpPr>
      <xdr:spPr>
        <a:xfrm>
          <a:off x="3959679" y="2007053"/>
          <a:ext cx="152808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2 : Use getVM() function to find a suitable VM</a:t>
          </a:r>
        </a:p>
      </xdr:txBody>
    </xdr:sp>
    <xdr:clientData/>
  </xdr:twoCellAnchor>
  <xdr:twoCellAnchor>
    <xdr:from>
      <xdr:col>7</xdr:col>
      <xdr:colOff>938893</xdr:colOff>
      <xdr:row>17</xdr:row>
      <xdr:rowOff>27214</xdr:rowOff>
    </xdr:from>
    <xdr:to>
      <xdr:col>9</xdr:col>
      <xdr:colOff>293914</xdr:colOff>
      <xdr:row>19</xdr:row>
      <xdr:rowOff>85724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F2FCFB2-93AB-4B3D-A588-ADBE22AB88B4}"/>
            </a:ext>
          </a:extLst>
        </xdr:cNvPr>
        <xdr:cNvSpPr txBox="1"/>
      </xdr:nvSpPr>
      <xdr:spPr>
        <a:xfrm>
          <a:off x="5163911" y="2571750"/>
          <a:ext cx="1491342" cy="35786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3 : Find the cost/hour</a:t>
          </a:r>
          <a:r>
            <a:rPr lang="en-US" sz="800" b="1" baseline="0">
              <a:solidFill>
                <a:srgbClr val="FF0000"/>
              </a:solidFill>
            </a:rPr>
            <a:t> by using getVMPriceHour()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1183822</xdr:colOff>
      <xdr:row>8</xdr:row>
      <xdr:rowOff>136071</xdr:rowOff>
    </xdr:from>
    <xdr:to>
      <xdr:col>12</xdr:col>
      <xdr:colOff>394607</xdr:colOff>
      <xdr:row>12</xdr:row>
      <xdr:rowOff>54428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DB44EF27-845F-45AD-B51A-8EC4862CE7E4}"/>
            </a:ext>
          </a:extLst>
        </xdr:cNvPr>
        <xdr:cNvSpPr/>
      </xdr:nvSpPr>
      <xdr:spPr>
        <a:xfrm>
          <a:off x="7545161" y="1333500"/>
          <a:ext cx="2707821" cy="51707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410935</xdr:colOff>
      <xdr:row>11</xdr:row>
      <xdr:rowOff>118382</xdr:rowOff>
    </xdr:from>
    <xdr:to>
      <xdr:col>11</xdr:col>
      <xdr:colOff>670831</xdr:colOff>
      <xdr:row>16</xdr:row>
      <xdr:rowOff>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DE32DCD-99DC-4ED3-9562-F31AD056DA80}"/>
            </a:ext>
          </a:extLst>
        </xdr:cNvPr>
        <xdr:cNvSpPr txBox="1"/>
      </xdr:nvSpPr>
      <xdr:spPr>
        <a:xfrm>
          <a:off x="8132989" y="1764846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The errors here are</a:t>
          </a:r>
          <a:r>
            <a:rPr lang="en-US" sz="800" b="1" baseline="0">
              <a:solidFill>
                <a:srgbClr val="FF0000"/>
              </a:solidFill>
            </a:rPr>
            <a:t> because the VM's cannot be reserved (A-series)</a:t>
          </a:r>
          <a:endParaRPr lang="en-US" sz="800" b="1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27214</xdr:rowOff>
    </xdr:from>
    <xdr:to>
      <xdr:col>1</xdr:col>
      <xdr:colOff>544285</xdr:colOff>
      <xdr:row>12</xdr:row>
      <xdr:rowOff>142875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77A7C35-1B3F-44D6-861E-F7A3CB5CC7A6}"/>
            </a:ext>
          </a:extLst>
        </xdr:cNvPr>
        <xdr:cNvSpPr/>
      </xdr:nvSpPr>
      <xdr:spPr>
        <a:xfrm>
          <a:off x="0" y="476250"/>
          <a:ext cx="1122589" cy="14627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107496</xdr:colOff>
      <xdr:row>13</xdr:row>
      <xdr:rowOff>39461</xdr:rowOff>
    </xdr:from>
    <xdr:to>
      <xdr:col>2</xdr:col>
      <xdr:colOff>442231</xdr:colOff>
      <xdr:row>17</xdr:row>
      <xdr:rowOff>70757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466273F-06CD-442D-91FA-E4336E2C8D8B}"/>
            </a:ext>
          </a:extLst>
        </xdr:cNvPr>
        <xdr:cNvSpPr txBox="1"/>
      </xdr:nvSpPr>
      <xdr:spPr>
        <a:xfrm>
          <a:off x="107496" y="1985282"/>
          <a:ext cx="1491342" cy="630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solidFill>
                <a:srgbClr val="FF0000"/>
              </a:solidFill>
            </a:rPr>
            <a:t>Use absolute</a:t>
          </a:r>
          <a:r>
            <a:rPr lang="en-US" sz="800" b="1" baseline="0">
              <a:solidFill>
                <a:srgbClr val="FF0000"/>
              </a:solidFill>
            </a:rPr>
            <a:t> cell references to keep reserved instances, region and currency in one place for easy editing</a:t>
          </a:r>
        </a:p>
        <a:p>
          <a:endParaRPr lang="en-US" sz="8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216589</xdr:colOff>
      <xdr:row>18</xdr:row>
      <xdr:rowOff>140292</xdr:rowOff>
    </xdr:from>
    <xdr:to>
      <xdr:col>4</xdr:col>
      <xdr:colOff>270737</xdr:colOff>
      <xdr:row>22</xdr:row>
      <xdr:rowOff>36919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349B15A9-9ECB-4255-9CCB-2BC7E28A56EA}"/>
            </a:ext>
          </a:extLst>
        </xdr:cNvPr>
        <xdr:cNvSpPr/>
      </xdr:nvSpPr>
      <xdr:spPr>
        <a:xfrm>
          <a:off x="829438" y="3595873"/>
          <a:ext cx="3443276" cy="664534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342113</xdr:colOff>
      <xdr:row>22</xdr:row>
      <xdr:rowOff>66454</xdr:rowOff>
    </xdr:from>
    <xdr:to>
      <xdr:col>5</xdr:col>
      <xdr:colOff>391337</xdr:colOff>
      <xdr:row>27</xdr:row>
      <xdr:rowOff>95988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3AE8C0A-DED7-4321-A526-008CA0C6BAEA}"/>
            </a:ext>
          </a:extLst>
        </xdr:cNvPr>
        <xdr:cNvSpPr txBox="1"/>
      </xdr:nvSpPr>
      <xdr:spPr>
        <a:xfrm>
          <a:off x="1900078" y="4289942"/>
          <a:ext cx="3106085" cy="9894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/>
            <a:t>Note that</a:t>
          </a:r>
          <a:r>
            <a:rPr lang="en-US" sz="800" baseline="0"/>
            <a:t> product with a displayname containing the words "preview", "promo" or "offer" be double the listprice. They will appear with red name and price as a warning of a preview pricing that might change. </a:t>
          </a:r>
        </a:p>
        <a:p>
          <a:r>
            <a:rPr lang="en-US" sz="800" baseline="0"/>
            <a:t>Usually the preview price is 50% of the GA price.</a:t>
          </a:r>
        </a:p>
        <a:p>
          <a:r>
            <a:rPr lang="en-US" sz="800" baseline="0"/>
            <a:t>Always doublecheck all prices with https://azure.microsoft.com/en-us/pricing/calculator/</a:t>
          </a:r>
        </a:p>
        <a:p>
          <a:endParaRPr lang="en-US" sz="800" baseline="0"/>
        </a:p>
        <a:p>
          <a:endParaRPr lang="en-US" sz="8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1638300</xdr:colOff>
      <xdr:row>1</xdr:row>
      <xdr:rowOff>123825</xdr:rowOff>
    </xdr:from>
    <xdr:to>
      <xdr:col>4</xdr:col>
      <xdr:colOff>733105</xdr:colOff>
      <xdr:row>3</xdr:row>
      <xdr:rowOff>95189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2AA21A-ADA2-4C2C-ACC8-31115CC8D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00550" y="304800"/>
          <a:ext cx="2561905" cy="4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35</xdr:row>
      <xdr:rowOff>19050</xdr:rowOff>
    </xdr:from>
    <xdr:to>
      <xdr:col>5</xdr:col>
      <xdr:colOff>2142050</xdr:colOff>
      <xdr:row>49</xdr:row>
      <xdr:rowOff>113955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335313-AA55-462D-B45C-C00DB6F6A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7219950"/>
          <a:ext cx="8600000" cy="27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66EF-825B-4CD9-B379-20748EDDE249}">
  <sheetPr codeName="Sheet3"/>
  <dimension ref="A4:R50"/>
  <sheetViews>
    <sheetView tabSelected="1" topLeftCell="A4" zoomScale="140" workbookViewId="0">
      <selection activeCell="O5" sqref="O5"/>
    </sheetView>
  </sheetViews>
  <sheetFormatPr defaultColWidth="8.7109375" defaultRowHeight="12"/>
  <cols>
    <col min="1" max="2" width="8.7109375" style="5"/>
    <col min="3" max="3" width="22.140625" style="5" bestFit="1" customWidth="1"/>
    <col min="4" max="4" width="4.5703125" style="5" bestFit="1" customWidth="1"/>
    <col min="5" max="5" width="5.5703125" style="5" customWidth="1"/>
    <col min="6" max="6" width="5" style="5" bestFit="1" customWidth="1"/>
    <col min="7" max="7" width="8.7109375" style="5"/>
    <col min="8" max="8" width="16.42578125" style="5" customWidth="1"/>
    <col min="9" max="9" width="15.5703125" style="8" customWidth="1"/>
    <col min="10" max="10" width="20.42578125" style="5" customWidth="1"/>
    <col min="11" max="11" width="18.42578125" style="5" customWidth="1"/>
    <col min="12" max="13" width="13.5703125" style="5" bestFit="1" customWidth="1"/>
    <col min="14" max="14" width="8.7109375" style="5"/>
    <col min="15" max="15" width="21.7109375" style="5" bestFit="1" customWidth="1"/>
    <col min="16" max="16" width="14.42578125" style="7" bestFit="1" customWidth="1"/>
    <col min="17" max="17" width="8.7109375" style="5"/>
    <col min="18" max="18" width="13.5703125" style="5" bestFit="1" customWidth="1"/>
    <col min="19" max="16384" width="8.7109375" style="5"/>
  </cols>
  <sheetData>
    <row r="4" spans="1:17">
      <c r="C4" s="4" t="s">
        <v>31</v>
      </c>
      <c r="D4" s="4" t="s">
        <v>5</v>
      </c>
      <c r="E4" s="4" t="s">
        <v>32</v>
      </c>
      <c r="F4" s="4" t="s">
        <v>33</v>
      </c>
      <c r="G4" s="4" t="s">
        <v>34</v>
      </c>
      <c r="H4" s="4" t="s">
        <v>124</v>
      </c>
      <c r="I4" s="9" t="s">
        <v>123</v>
      </c>
      <c r="J4" s="4" t="s">
        <v>125</v>
      </c>
      <c r="K4" s="4" t="s">
        <v>126</v>
      </c>
      <c r="L4" s="4" t="s">
        <v>127</v>
      </c>
      <c r="M4" s="4" t="s">
        <v>128</v>
      </c>
      <c r="N4" s="4" t="s">
        <v>129</v>
      </c>
    </row>
    <row r="5" spans="1:17">
      <c r="A5" s="4" t="s">
        <v>114</v>
      </c>
      <c r="C5" s="5" t="str">
        <f>_xlfn.CONCAT("Virtual Server ",D5," Cores, ",E5,"GB")</f>
        <v>Virtual Server 1 Cores, 2GB</v>
      </c>
      <c r="D5" s="5">
        <v>1</v>
      </c>
      <c r="E5" s="5">
        <v>2</v>
      </c>
      <c r="F5" s="5">
        <v>123</v>
      </c>
      <c r="G5" s="5">
        <v>256</v>
      </c>
      <c r="H5" s="18" t="str">
        <f>getVM(D5,E5,$A$6,$A$8,$A$10,)</f>
        <v>linux-b1ms-standard</v>
      </c>
      <c r="I5" s="22">
        <f>getVMPriceHour(H5,$A$6,$A$8,$A$10)*$A$12</f>
        <v>15.183999999999999</v>
      </c>
      <c r="J5" s="18" t="str">
        <f>getVM(D5,E5,$A$6,$A$8,$A$10,"","windows")</f>
        <v>windows-b1ms-standard</v>
      </c>
      <c r="K5" s="23">
        <f>getVMPriceHour(H5,3,$A$8,$A$10)*$A$12</f>
        <v>6.3583000000000007</v>
      </c>
      <c r="L5" s="24">
        <f>I5-K5</f>
        <v>8.8256999999999977</v>
      </c>
      <c r="M5" s="11" t="str">
        <f>getVMData(H5,$A$8,$A$10,"cores")</f>
        <v>1</v>
      </c>
      <c r="N5" s="11" t="str">
        <f>getVMData(H5,$A$8,$A$10,"cores")</f>
        <v>1</v>
      </c>
      <c r="O5" s="18"/>
      <c r="Q5" s="10"/>
    </row>
    <row r="6" spans="1:17">
      <c r="A6" s="5">
        <v>0</v>
      </c>
      <c r="C6" s="5" t="str">
        <f t="shared" ref="C6:C49" si="0">_xlfn.CONCAT("Virtual Server ",D6," Cores, ",E6,"GB")</f>
        <v>Virtual Server 1 Cores, 4GB</v>
      </c>
      <c r="D6" s="5">
        <v>1</v>
      </c>
      <c r="E6" s="5">
        <v>4</v>
      </c>
      <c r="F6" s="5">
        <v>144</v>
      </c>
      <c r="G6" s="5">
        <v>128</v>
      </c>
      <c r="H6" s="18" t="str">
        <f t="shared" ref="H6:H49" si="1">getVM(D6,E6,$A$6,$A$8,$A$10,)</f>
        <v>linux-b2s-standard</v>
      </c>
      <c r="I6" s="22">
        <f t="shared" ref="I6:I49" si="2">getVMPriceHour(H6,$A$6,$A$8,$A$10)*$A$12</f>
        <v>30.367999999999999</v>
      </c>
      <c r="J6" s="18" t="str">
        <f t="shared" ref="J6:J49" si="3">getVM(D6,E6,$A$6,$A$8,$A$10,"","windows")</f>
        <v>windows-b2s-standard</v>
      </c>
      <c r="K6" s="23">
        <f t="shared" ref="K6:K49" si="4">getVMPriceHour(H6,3,$A$8,$A$10)*$A$12</f>
        <v>12.7239</v>
      </c>
      <c r="L6" s="24">
        <f t="shared" ref="L6:L49" si="5">I6-K6</f>
        <v>17.644099999999998</v>
      </c>
      <c r="M6" s="11" t="str">
        <f t="shared" ref="M6:M49" si="6">getVMData(H6,$A$8,$A$10,"cores")</f>
        <v>2</v>
      </c>
      <c r="N6" s="11" t="str">
        <f t="shared" ref="N6:N49" si="7">getVMData(H6,$A$8,$A$10,"cores")</f>
        <v>2</v>
      </c>
      <c r="O6" s="18"/>
      <c r="Q6" s="10"/>
    </row>
    <row r="7" spans="1:17">
      <c r="A7" s="4" t="s">
        <v>16</v>
      </c>
      <c r="C7" s="5" t="str">
        <f t="shared" si="0"/>
        <v>Virtual Server 1 Cores, 8GB</v>
      </c>
      <c r="D7" s="5">
        <v>1</v>
      </c>
      <c r="E7" s="5">
        <v>8</v>
      </c>
      <c r="F7" s="5">
        <v>117</v>
      </c>
      <c r="G7" s="5">
        <v>192</v>
      </c>
      <c r="H7" s="18" t="str">
        <f t="shared" si="1"/>
        <v>linux-b2ms-standard</v>
      </c>
      <c r="I7" s="22">
        <f t="shared" si="2"/>
        <v>60.735999999999997</v>
      </c>
      <c r="J7" s="18" t="str">
        <f t="shared" si="3"/>
        <v>windows-b2ms-standard</v>
      </c>
      <c r="K7" s="23">
        <f t="shared" si="4"/>
        <v>25.4697</v>
      </c>
      <c r="L7" s="24">
        <f t="shared" si="5"/>
        <v>35.266300000000001</v>
      </c>
      <c r="M7" s="11" t="str">
        <f t="shared" si="6"/>
        <v>2</v>
      </c>
      <c r="N7" s="11" t="str">
        <f t="shared" si="7"/>
        <v>2</v>
      </c>
      <c r="O7" s="18"/>
      <c r="Q7" s="10"/>
    </row>
    <row r="8" spans="1:17">
      <c r="A8" s="5" t="s">
        <v>10</v>
      </c>
      <c r="C8" s="5" t="str">
        <f t="shared" si="0"/>
        <v>Virtual Server 2 Cores, 2GB</v>
      </c>
      <c r="D8" s="5">
        <v>2</v>
      </c>
      <c r="E8" s="5">
        <v>2</v>
      </c>
      <c r="F8" s="5">
        <v>145</v>
      </c>
      <c r="G8" s="5">
        <v>128</v>
      </c>
      <c r="H8" s="18" t="str">
        <f t="shared" si="1"/>
        <v>linux-b2s-standard</v>
      </c>
      <c r="I8" s="22">
        <f t="shared" si="2"/>
        <v>30.367999999999999</v>
      </c>
      <c r="J8" s="18" t="str">
        <f t="shared" si="3"/>
        <v>windows-b2s-standard</v>
      </c>
      <c r="K8" s="23">
        <f t="shared" si="4"/>
        <v>12.7239</v>
      </c>
      <c r="L8" s="24">
        <f t="shared" si="5"/>
        <v>17.644099999999998</v>
      </c>
      <c r="M8" s="11" t="str">
        <f t="shared" si="6"/>
        <v>2</v>
      </c>
      <c r="N8" s="11" t="str">
        <f t="shared" si="7"/>
        <v>2</v>
      </c>
      <c r="O8" s="18"/>
      <c r="Q8" s="10"/>
    </row>
    <row r="9" spans="1:17">
      <c r="A9" s="4" t="s">
        <v>3</v>
      </c>
      <c r="C9" s="5" t="str">
        <f t="shared" si="0"/>
        <v>Virtual Server 2 Cores, 4GB</v>
      </c>
      <c r="D9" s="5">
        <v>2</v>
      </c>
      <c r="E9" s="5">
        <v>4</v>
      </c>
      <c r="F9" s="5">
        <v>107</v>
      </c>
      <c r="G9" s="5">
        <v>288</v>
      </c>
      <c r="H9" s="18" t="str">
        <f t="shared" si="1"/>
        <v>linux-b2s-standard</v>
      </c>
      <c r="I9" s="22">
        <f t="shared" si="2"/>
        <v>30.367999999999999</v>
      </c>
      <c r="J9" s="18" t="str">
        <f t="shared" si="3"/>
        <v>windows-b2s-standard</v>
      </c>
      <c r="K9" s="23">
        <f t="shared" si="4"/>
        <v>12.7239</v>
      </c>
      <c r="L9" s="24">
        <f t="shared" si="5"/>
        <v>17.644099999999998</v>
      </c>
      <c r="M9" s="11" t="str">
        <f t="shared" si="6"/>
        <v>2</v>
      </c>
      <c r="N9" s="11" t="str">
        <f t="shared" si="7"/>
        <v>2</v>
      </c>
      <c r="O9" s="18"/>
      <c r="Q9" s="10"/>
    </row>
    <row r="10" spans="1:17">
      <c r="A10" s="5" t="s">
        <v>122</v>
      </c>
      <c r="C10" s="5" t="str">
        <f t="shared" si="0"/>
        <v>Virtual Server 2 Cores, 8GB</v>
      </c>
      <c r="D10" s="5">
        <v>2</v>
      </c>
      <c r="E10" s="5">
        <v>8</v>
      </c>
      <c r="F10" s="5">
        <v>112</v>
      </c>
      <c r="G10" s="5">
        <v>192</v>
      </c>
      <c r="H10" s="18" t="str">
        <f t="shared" si="1"/>
        <v>linux-b2ms-standard</v>
      </c>
      <c r="I10" s="22">
        <f t="shared" si="2"/>
        <v>60.735999999999997</v>
      </c>
      <c r="J10" s="18" t="str">
        <f t="shared" si="3"/>
        <v>windows-b2ms-standard</v>
      </c>
      <c r="K10" s="23">
        <f t="shared" si="4"/>
        <v>25.4697</v>
      </c>
      <c r="L10" s="24">
        <f t="shared" si="5"/>
        <v>35.266300000000001</v>
      </c>
      <c r="M10" s="11" t="str">
        <f t="shared" si="6"/>
        <v>2</v>
      </c>
      <c r="N10" s="11" t="str">
        <f t="shared" si="7"/>
        <v>2</v>
      </c>
      <c r="O10" s="18"/>
      <c r="P10" s="24"/>
      <c r="Q10" s="10"/>
    </row>
    <row r="11" spans="1:17">
      <c r="A11" s="4" t="s">
        <v>115</v>
      </c>
      <c r="C11" s="5" t="str">
        <f t="shared" si="0"/>
        <v>Virtual Server 2 Cores, 16GB</v>
      </c>
      <c r="D11" s="5">
        <v>2</v>
      </c>
      <c r="E11" s="5">
        <v>16</v>
      </c>
      <c r="F11" s="5">
        <v>47</v>
      </c>
      <c r="G11" s="5">
        <v>288</v>
      </c>
      <c r="H11" s="18" t="str">
        <f t="shared" si="1"/>
        <v>linux-a2mv2-standard</v>
      </c>
      <c r="I11" s="22">
        <f>getVMPriceHour(H11,$A$6,$A$8,$A$10)*$A$12</f>
        <v>86.86999999999999</v>
      </c>
      <c r="J11" s="18" t="str">
        <f t="shared" si="3"/>
        <v>windows-a2mv2-standard</v>
      </c>
      <c r="K11" s="23" t="e">
        <f t="shared" si="4"/>
        <v>#VALUE!</v>
      </c>
      <c r="L11" s="24" t="e">
        <f t="shared" si="5"/>
        <v>#VALUE!</v>
      </c>
      <c r="M11" s="11" t="str">
        <f t="shared" si="6"/>
        <v>2</v>
      </c>
      <c r="N11" s="11" t="str">
        <f t="shared" si="7"/>
        <v>2</v>
      </c>
      <c r="O11" s="18"/>
      <c r="Q11" s="10"/>
    </row>
    <row r="12" spans="1:17">
      <c r="A12" s="5">
        <v>730</v>
      </c>
      <c r="C12" s="5" t="str">
        <f t="shared" si="0"/>
        <v>Virtual Server 4 Cores, 2GB</v>
      </c>
      <c r="D12" s="5">
        <v>4</v>
      </c>
      <c r="E12" s="5">
        <v>2</v>
      </c>
      <c r="F12" s="5">
        <v>8</v>
      </c>
      <c r="G12" s="5">
        <v>160</v>
      </c>
      <c r="H12" s="18" t="str">
        <f t="shared" si="1"/>
        <v>linux-b4ms-standard</v>
      </c>
      <c r="I12" s="22">
        <f t="shared" si="2"/>
        <v>121.18</v>
      </c>
      <c r="J12" s="18" t="str">
        <f t="shared" si="3"/>
        <v>windows-b4ms-standard</v>
      </c>
      <c r="K12" s="23">
        <f t="shared" si="4"/>
        <v>50.946700000000007</v>
      </c>
      <c r="L12" s="24">
        <f t="shared" si="5"/>
        <v>70.2333</v>
      </c>
      <c r="M12" s="11" t="str">
        <f t="shared" si="6"/>
        <v>4</v>
      </c>
      <c r="N12" s="11" t="str">
        <f t="shared" si="7"/>
        <v>4</v>
      </c>
      <c r="O12" s="18"/>
      <c r="Q12" s="10"/>
    </row>
    <row r="13" spans="1:17">
      <c r="C13" s="5" t="str">
        <f t="shared" si="0"/>
        <v>Virtual Server 4 Cores, 4GB</v>
      </c>
      <c r="D13" s="5">
        <v>4</v>
      </c>
      <c r="E13" s="5">
        <v>4</v>
      </c>
      <c r="F13" s="5">
        <v>148</v>
      </c>
      <c r="G13" s="5">
        <v>288</v>
      </c>
      <c r="H13" s="18" t="str">
        <f t="shared" si="1"/>
        <v>linux-b4ms-standard</v>
      </c>
      <c r="I13" s="22">
        <f t="shared" si="2"/>
        <v>121.18</v>
      </c>
      <c r="J13" s="18" t="str">
        <f t="shared" si="3"/>
        <v>windows-b4ms-standard</v>
      </c>
      <c r="K13" s="23">
        <f t="shared" si="4"/>
        <v>50.946700000000007</v>
      </c>
      <c r="L13" s="24">
        <f t="shared" si="5"/>
        <v>70.2333</v>
      </c>
      <c r="M13" s="11" t="str">
        <f t="shared" si="6"/>
        <v>4</v>
      </c>
      <c r="N13" s="11" t="str">
        <f t="shared" si="7"/>
        <v>4</v>
      </c>
      <c r="O13" s="18"/>
      <c r="Q13" s="10"/>
    </row>
    <row r="14" spans="1:17">
      <c r="C14" s="5" t="str">
        <f t="shared" si="0"/>
        <v>Virtual Server 4 Cores, 8GB</v>
      </c>
      <c r="D14" s="5">
        <v>4</v>
      </c>
      <c r="E14" s="5">
        <v>8</v>
      </c>
      <c r="F14" s="5">
        <v>69</v>
      </c>
      <c r="G14" s="5">
        <v>64</v>
      </c>
      <c r="H14" s="18" t="str">
        <f t="shared" si="1"/>
        <v>linux-b4ms-standard</v>
      </c>
      <c r="I14" s="22">
        <f t="shared" si="2"/>
        <v>121.18</v>
      </c>
      <c r="J14" s="18" t="str">
        <f t="shared" si="3"/>
        <v>windows-b4ms-standard</v>
      </c>
      <c r="K14" s="23">
        <f t="shared" si="4"/>
        <v>50.946700000000007</v>
      </c>
      <c r="L14" s="24">
        <f t="shared" si="5"/>
        <v>70.2333</v>
      </c>
      <c r="M14" s="11" t="str">
        <f t="shared" si="6"/>
        <v>4</v>
      </c>
      <c r="N14" s="11" t="str">
        <f t="shared" si="7"/>
        <v>4</v>
      </c>
      <c r="O14" s="18"/>
      <c r="Q14" s="10"/>
    </row>
    <row r="15" spans="1:17">
      <c r="C15" s="5" t="str">
        <f t="shared" si="0"/>
        <v>Virtual Server 4 Cores, 16GB</v>
      </c>
      <c r="D15" s="5">
        <v>4</v>
      </c>
      <c r="E15" s="5">
        <v>16</v>
      </c>
      <c r="F15" s="5">
        <v>9</v>
      </c>
      <c r="G15" s="5">
        <v>32</v>
      </c>
      <c r="H15" s="18" t="str">
        <f t="shared" si="1"/>
        <v>linux-b4ms-standard</v>
      </c>
      <c r="I15" s="22">
        <f t="shared" si="2"/>
        <v>121.18</v>
      </c>
      <c r="J15" s="18" t="str">
        <f t="shared" si="3"/>
        <v>windows-b4ms-standard</v>
      </c>
      <c r="K15" s="23">
        <f t="shared" si="4"/>
        <v>50.946700000000007</v>
      </c>
      <c r="L15" s="24">
        <f t="shared" si="5"/>
        <v>70.2333</v>
      </c>
      <c r="M15" s="11" t="str">
        <f t="shared" si="6"/>
        <v>4</v>
      </c>
      <c r="N15" s="11" t="str">
        <f t="shared" si="7"/>
        <v>4</v>
      </c>
      <c r="O15" s="18"/>
      <c r="Q15" s="10"/>
    </row>
    <row r="16" spans="1:17">
      <c r="C16" s="5" t="str">
        <f t="shared" si="0"/>
        <v>Virtual Server 4 Cores, 32GB</v>
      </c>
      <c r="D16" s="5">
        <v>4</v>
      </c>
      <c r="E16" s="5">
        <v>32</v>
      </c>
      <c r="F16" s="5">
        <v>93</v>
      </c>
      <c r="G16" s="5">
        <v>32</v>
      </c>
      <c r="H16" s="18" t="str">
        <f t="shared" si="1"/>
        <v>linux-a4mv2-standard</v>
      </c>
      <c r="I16" s="22">
        <f t="shared" si="2"/>
        <v>181.77</v>
      </c>
      <c r="J16" s="18" t="str">
        <f t="shared" si="3"/>
        <v>windows-b8ms-standard</v>
      </c>
      <c r="K16" s="23" t="e">
        <f t="shared" si="4"/>
        <v>#VALUE!</v>
      </c>
      <c r="L16" s="24" t="e">
        <f t="shared" si="5"/>
        <v>#VALUE!</v>
      </c>
      <c r="M16" s="11" t="str">
        <f t="shared" si="6"/>
        <v>4</v>
      </c>
      <c r="N16" s="11" t="str">
        <f t="shared" si="7"/>
        <v>4</v>
      </c>
      <c r="O16" s="18"/>
      <c r="Q16" s="10"/>
    </row>
    <row r="17" spans="3:17">
      <c r="C17" s="5" t="str">
        <f t="shared" si="0"/>
        <v>Virtual Server 8 Cores, 2GB</v>
      </c>
      <c r="D17" s="5">
        <v>8</v>
      </c>
      <c r="E17" s="5">
        <v>2</v>
      </c>
      <c r="F17" s="5">
        <v>42</v>
      </c>
      <c r="G17" s="5">
        <v>256</v>
      </c>
      <c r="H17" s="18" t="str">
        <f t="shared" si="1"/>
        <v>linux-b8ms-standard</v>
      </c>
      <c r="I17" s="22">
        <f t="shared" si="2"/>
        <v>243.09</v>
      </c>
      <c r="J17" s="18" t="str">
        <f t="shared" si="3"/>
        <v>windows-b8ms-standard</v>
      </c>
      <c r="K17" s="23">
        <f t="shared" si="4"/>
        <v>101.8861</v>
      </c>
      <c r="L17" s="24">
        <f t="shared" si="5"/>
        <v>141.2039</v>
      </c>
      <c r="M17" s="11" t="str">
        <f t="shared" si="6"/>
        <v>8</v>
      </c>
      <c r="N17" s="11" t="str">
        <f t="shared" si="7"/>
        <v>8</v>
      </c>
      <c r="O17" s="18"/>
      <c r="Q17" s="10"/>
    </row>
    <row r="18" spans="3:17">
      <c r="C18" s="5" t="str">
        <f t="shared" si="0"/>
        <v>Virtual Server 8 Cores, 4GB</v>
      </c>
      <c r="D18" s="5">
        <v>8</v>
      </c>
      <c r="E18" s="5">
        <v>4</v>
      </c>
      <c r="F18" s="5">
        <v>156</v>
      </c>
      <c r="G18" s="5">
        <v>96</v>
      </c>
      <c r="H18" s="18" t="str">
        <f t="shared" si="1"/>
        <v>linux-b8ms-standard</v>
      </c>
      <c r="I18" s="22">
        <f t="shared" si="2"/>
        <v>243.09</v>
      </c>
      <c r="J18" s="18" t="str">
        <f t="shared" si="3"/>
        <v>windows-b8ms-standard</v>
      </c>
      <c r="K18" s="23">
        <f t="shared" si="4"/>
        <v>101.8861</v>
      </c>
      <c r="L18" s="24">
        <f t="shared" si="5"/>
        <v>141.2039</v>
      </c>
      <c r="M18" s="11" t="str">
        <f t="shared" si="6"/>
        <v>8</v>
      </c>
      <c r="N18" s="11" t="str">
        <f t="shared" si="7"/>
        <v>8</v>
      </c>
      <c r="O18" s="18"/>
      <c r="Q18" s="10"/>
    </row>
    <row r="19" spans="3:17">
      <c r="C19" s="5" t="str">
        <f t="shared" si="0"/>
        <v>Virtual Server 8 Cores, 8GB</v>
      </c>
      <c r="D19" s="5">
        <v>8</v>
      </c>
      <c r="E19" s="5">
        <v>8</v>
      </c>
      <c r="F19" s="5">
        <v>125</v>
      </c>
      <c r="G19" s="5">
        <v>96</v>
      </c>
      <c r="H19" s="18" t="str">
        <f t="shared" si="1"/>
        <v>linux-b8ms-standard</v>
      </c>
      <c r="I19" s="22">
        <f t="shared" si="2"/>
        <v>243.09</v>
      </c>
      <c r="J19" s="18" t="str">
        <f t="shared" si="3"/>
        <v>windows-b8ms-standard</v>
      </c>
      <c r="K19" s="23">
        <f t="shared" si="4"/>
        <v>101.8861</v>
      </c>
      <c r="L19" s="24">
        <f t="shared" si="5"/>
        <v>141.2039</v>
      </c>
      <c r="M19" s="11" t="str">
        <f t="shared" si="6"/>
        <v>8</v>
      </c>
      <c r="N19" s="11" t="str">
        <f t="shared" si="7"/>
        <v>8</v>
      </c>
      <c r="O19" s="18"/>
      <c r="Q19" s="10"/>
    </row>
    <row r="20" spans="3:17">
      <c r="C20" s="5" t="str">
        <f t="shared" si="0"/>
        <v>Virtual Server 8 Cores, 16GB</v>
      </c>
      <c r="D20" s="5">
        <v>8</v>
      </c>
      <c r="E20" s="5">
        <v>16</v>
      </c>
      <c r="F20" s="5">
        <v>173</v>
      </c>
      <c r="G20" s="5">
        <v>192</v>
      </c>
      <c r="H20" s="18" t="str">
        <f t="shared" si="1"/>
        <v>linux-b8ms-standard</v>
      </c>
      <c r="I20" s="22">
        <f t="shared" si="2"/>
        <v>243.09</v>
      </c>
      <c r="J20" s="18" t="str">
        <f t="shared" si="3"/>
        <v>windows-b8ms-standard</v>
      </c>
      <c r="K20" s="23">
        <f t="shared" si="4"/>
        <v>101.8861</v>
      </c>
      <c r="L20" s="24">
        <f t="shared" si="5"/>
        <v>141.2039</v>
      </c>
      <c r="M20" s="11" t="str">
        <f t="shared" si="6"/>
        <v>8</v>
      </c>
      <c r="N20" s="11" t="str">
        <f t="shared" si="7"/>
        <v>8</v>
      </c>
      <c r="O20" s="18"/>
      <c r="Q20" s="10"/>
    </row>
    <row r="21" spans="3:17">
      <c r="C21" s="5" t="str">
        <f t="shared" si="0"/>
        <v>Virtual Server 8 Cores, 32GB</v>
      </c>
      <c r="D21" s="5">
        <v>8</v>
      </c>
      <c r="E21" s="5">
        <v>32</v>
      </c>
      <c r="F21" s="5">
        <v>110</v>
      </c>
      <c r="G21" s="5">
        <v>160</v>
      </c>
      <c r="H21" s="18" t="str">
        <f t="shared" si="1"/>
        <v>linux-b8ms-standard</v>
      </c>
      <c r="I21" s="22">
        <f t="shared" si="2"/>
        <v>243.09</v>
      </c>
      <c r="J21" s="18" t="str">
        <f t="shared" si="3"/>
        <v>windows-b8ms-standard</v>
      </c>
      <c r="K21" s="23">
        <f t="shared" si="4"/>
        <v>101.8861</v>
      </c>
      <c r="L21" s="24">
        <f t="shared" si="5"/>
        <v>141.2039</v>
      </c>
      <c r="M21" s="11" t="str">
        <f t="shared" si="6"/>
        <v>8</v>
      </c>
      <c r="N21" s="11" t="str">
        <f t="shared" si="7"/>
        <v>8</v>
      </c>
      <c r="O21" s="18"/>
      <c r="Q21" s="10"/>
    </row>
    <row r="22" spans="3:17">
      <c r="C22" s="5" t="str">
        <f t="shared" si="0"/>
        <v>Virtual Server 8 Cores, 64GB</v>
      </c>
      <c r="D22" s="5">
        <v>8</v>
      </c>
      <c r="E22" s="5">
        <v>64</v>
      </c>
      <c r="F22" s="5">
        <v>26</v>
      </c>
      <c r="G22" s="5">
        <v>128</v>
      </c>
      <c r="H22" s="18" t="str">
        <f t="shared" si="1"/>
        <v>linux-a8mv2-standard</v>
      </c>
      <c r="I22" s="22">
        <f t="shared" si="2"/>
        <v>382.52000000000004</v>
      </c>
      <c r="J22" s="18" t="str">
        <f t="shared" si="3"/>
        <v>windows-a8mv2-standard</v>
      </c>
      <c r="K22" s="23" t="e">
        <f t="shared" si="4"/>
        <v>#VALUE!</v>
      </c>
      <c r="L22" s="24" t="e">
        <f t="shared" si="5"/>
        <v>#VALUE!</v>
      </c>
      <c r="M22" s="11" t="str">
        <f t="shared" si="6"/>
        <v>8</v>
      </c>
      <c r="N22" s="11" t="str">
        <f t="shared" si="7"/>
        <v>8</v>
      </c>
      <c r="O22" s="18"/>
      <c r="Q22" s="10"/>
    </row>
    <row r="23" spans="3:17">
      <c r="C23" s="5" t="str">
        <f t="shared" si="0"/>
        <v>Virtual Server 8 Cores, 128GB</v>
      </c>
      <c r="D23" s="5">
        <v>8</v>
      </c>
      <c r="E23" s="5">
        <v>128</v>
      </c>
      <c r="F23" s="5">
        <v>126</v>
      </c>
      <c r="G23" s="5">
        <v>96</v>
      </c>
      <c r="H23" s="18" t="str">
        <f t="shared" si="1"/>
        <v>linux-e16v3-standard</v>
      </c>
      <c r="I23" s="22">
        <f t="shared" si="2"/>
        <v>776.72</v>
      </c>
      <c r="J23" s="18" t="str">
        <f t="shared" si="3"/>
        <v>windows-e16v3-standard</v>
      </c>
      <c r="K23" s="23">
        <f t="shared" si="4"/>
        <v>292.05840000000001</v>
      </c>
      <c r="L23" s="24">
        <f t="shared" si="5"/>
        <v>484.66160000000002</v>
      </c>
      <c r="M23" s="11" t="str">
        <f t="shared" si="6"/>
        <v>16</v>
      </c>
      <c r="N23" s="11" t="str">
        <f t="shared" si="7"/>
        <v>16</v>
      </c>
      <c r="O23" s="18"/>
      <c r="Q23" s="10"/>
    </row>
    <row r="24" spans="3:17">
      <c r="C24" s="5" t="str">
        <f t="shared" si="0"/>
        <v>Virtual Server 8 Cores, 256GB</v>
      </c>
      <c r="D24" s="5">
        <v>8</v>
      </c>
      <c r="E24" s="5">
        <v>256</v>
      </c>
      <c r="F24" s="5">
        <v>86</v>
      </c>
      <c r="G24" s="5">
        <v>128</v>
      </c>
      <c r="H24" s="18" t="str">
        <f t="shared" si="1"/>
        <v>linux-e32v3-standard</v>
      </c>
      <c r="I24" s="22">
        <f t="shared" si="2"/>
        <v>1553.44</v>
      </c>
      <c r="J24" s="18" t="str">
        <f t="shared" si="3"/>
        <v>windows-e32v3-standard</v>
      </c>
      <c r="K24" s="23">
        <f t="shared" si="4"/>
        <v>584.08029999999997</v>
      </c>
      <c r="L24" s="24">
        <f t="shared" si="5"/>
        <v>969.35970000000009</v>
      </c>
      <c r="M24" s="11" t="str">
        <f t="shared" si="6"/>
        <v>32</v>
      </c>
      <c r="N24" s="11" t="str">
        <f t="shared" si="7"/>
        <v>32</v>
      </c>
      <c r="O24" s="18"/>
      <c r="Q24" s="10"/>
    </row>
    <row r="25" spans="3:17">
      <c r="C25" s="5" t="str">
        <f t="shared" si="0"/>
        <v>Virtual Server 16 Cores, 64GB</v>
      </c>
      <c r="D25" s="5">
        <v>16</v>
      </c>
      <c r="E25" s="5">
        <v>64</v>
      </c>
      <c r="F25" s="5">
        <v>126</v>
      </c>
      <c r="G25" s="5">
        <v>128</v>
      </c>
      <c r="H25" s="18" t="str">
        <f t="shared" si="1"/>
        <v>linux-d16v3-standard</v>
      </c>
      <c r="I25" s="22">
        <f t="shared" si="2"/>
        <v>560.64</v>
      </c>
      <c r="J25" s="18" t="str">
        <f t="shared" si="3"/>
        <v>windows-d16v3-standard</v>
      </c>
      <c r="K25" s="23">
        <f t="shared" si="4"/>
        <v>215.19669999999999</v>
      </c>
      <c r="L25" s="24">
        <f t="shared" si="5"/>
        <v>345.44330000000002</v>
      </c>
      <c r="M25" s="11" t="str">
        <f t="shared" si="6"/>
        <v>16</v>
      </c>
      <c r="N25" s="11" t="str">
        <f t="shared" si="7"/>
        <v>16</v>
      </c>
      <c r="O25" s="18"/>
      <c r="Q25" s="10"/>
    </row>
    <row r="26" spans="3:17">
      <c r="C26" s="5" t="str">
        <f t="shared" si="0"/>
        <v>Virtual Server 16 Cores, 128GB</v>
      </c>
      <c r="D26" s="5">
        <v>16</v>
      </c>
      <c r="E26" s="5">
        <v>128</v>
      </c>
      <c r="F26" s="5">
        <v>128</v>
      </c>
      <c r="G26" s="5">
        <v>160</v>
      </c>
      <c r="H26" s="18" t="str">
        <f t="shared" si="1"/>
        <v>linux-e16v3-standard</v>
      </c>
      <c r="I26" s="22">
        <f t="shared" si="2"/>
        <v>776.72</v>
      </c>
      <c r="J26" s="18" t="str">
        <f t="shared" si="3"/>
        <v>windows-e16v3-standard</v>
      </c>
      <c r="K26" s="23">
        <f t="shared" si="4"/>
        <v>292.05840000000001</v>
      </c>
      <c r="L26" s="24">
        <f t="shared" si="5"/>
        <v>484.66160000000002</v>
      </c>
      <c r="M26" s="11" t="str">
        <f t="shared" si="6"/>
        <v>16</v>
      </c>
      <c r="N26" s="11" t="str">
        <f t="shared" si="7"/>
        <v>16</v>
      </c>
      <c r="O26" s="18"/>
      <c r="Q26" s="10"/>
    </row>
    <row r="27" spans="3:17">
      <c r="C27" s="5" t="str">
        <f t="shared" si="0"/>
        <v>Virtual Server 16 Cores, 256GB</v>
      </c>
      <c r="D27" s="5">
        <v>16</v>
      </c>
      <c r="E27" s="5">
        <v>256</v>
      </c>
      <c r="F27" s="5">
        <v>65</v>
      </c>
      <c r="G27" s="5">
        <v>224</v>
      </c>
      <c r="H27" s="18" t="str">
        <f t="shared" si="1"/>
        <v>linux-e32v3-standard</v>
      </c>
      <c r="I27" s="22">
        <f t="shared" si="2"/>
        <v>1553.44</v>
      </c>
      <c r="J27" s="18" t="str">
        <f t="shared" si="3"/>
        <v>windows-e32v3-standard</v>
      </c>
      <c r="K27" s="23">
        <f t="shared" si="4"/>
        <v>584.08029999999997</v>
      </c>
      <c r="L27" s="24">
        <f t="shared" si="5"/>
        <v>969.35970000000009</v>
      </c>
      <c r="M27" s="11" t="str">
        <f t="shared" si="6"/>
        <v>32</v>
      </c>
      <c r="N27" s="11" t="str">
        <f t="shared" si="7"/>
        <v>32</v>
      </c>
      <c r="O27" s="18"/>
      <c r="Q27" s="10"/>
    </row>
    <row r="28" spans="3:17">
      <c r="C28" s="5" t="str">
        <f t="shared" si="0"/>
        <v>Virtual Server 16 Cores, 512GB</v>
      </c>
      <c r="D28" s="5">
        <v>16</v>
      </c>
      <c r="E28" s="5">
        <v>512</v>
      </c>
      <c r="F28" s="5">
        <v>49</v>
      </c>
      <c r="G28" s="5">
        <v>128</v>
      </c>
      <c r="H28" s="18" t="str">
        <f t="shared" si="1"/>
        <v>linux-m64ls-standard</v>
      </c>
      <c r="I28" s="22">
        <f t="shared" si="2"/>
        <v>3952.95</v>
      </c>
      <c r="J28" s="18" t="str">
        <f t="shared" si="3"/>
        <v>windows-m64ls-standard</v>
      </c>
      <c r="K28" s="23">
        <f t="shared" si="4"/>
        <v>1105.9135000000001</v>
      </c>
      <c r="L28" s="24">
        <f t="shared" si="5"/>
        <v>2847.0364999999997</v>
      </c>
      <c r="M28" s="11" t="str">
        <f t="shared" si="6"/>
        <v>64</v>
      </c>
      <c r="N28" s="11" t="str">
        <f t="shared" si="7"/>
        <v>64</v>
      </c>
      <c r="O28" s="18"/>
      <c r="Q28" s="10"/>
    </row>
    <row r="29" spans="3:17">
      <c r="C29" s="5" t="str">
        <f t="shared" si="0"/>
        <v>Virtual Server 16 Cores, 1024GB</v>
      </c>
      <c r="D29" s="5">
        <v>16</v>
      </c>
      <c r="E29" s="5">
        <v>1024</v>
      </c>
      <c r="F29" s="5">
        <v>47</v>
      </c>
      <c r="G29" s="5">
        <v>96</v>
      </c>
      <c r="H29" s="18" t="str">
        <f t="shared" si="1"/>
        <v>linux-m64s-standard</v>
      </c>
      <c r="I29" s="22">
        <f t="shared" si="2"/>
        <v>4868.37</v>
      </c>
      <c r="J29" s="18" t="str">
        <f t="shared" si="3"/>
        <v>windows-m64s-standard</v>
      </c>
      <c r="K29" s="23">
        <f t="shared" si="4"/>
        <v>1358.3621000000001</v>
      </c>
      <c r="L29" s="24">
        <f t="shared" si="5"/>
        <v>3510.0078999999996</v>
      </c>
      <c r="M29" s="11" t="str">
        <f t="shared" si="6"/>
        <v>64</v>
      </c>
      <c r="N29" s="11" t="str">
        <f t="shared" si="7"/>
        <v>64</v>
      </c>
      <c r="O29" s="18"/>
      <c r="Q29" s="10"/>
    </row>
    <row r="30" spans="3:17">
      <c r="C30" s="5" t="str">
        <f t="shared" si="0"/>
        <v>Virtual Server 32 Cores, 2GB</v>
      </c>
      <c r="D30" s="5">
        <v>32</v>
      </c>
      <c r="E30" s="5">
        <v>2</v>
      </c>
      <c r="F30" s="5">
        <v>188</v>
      </c>
      <c r="G30" s="5">
        <v>64</v>
      </c>
      <c r="H30" s="18" t="str">
        <f t="shared" si="1"/>
        <v>linux-f32sv2-standard</v>
      </c>
      <c r="I30" s="22">
        <f t="shared" si="2"/>
        <v>987.68999999999994</v>
      </c>
      <c r="J30" s="18" t="str">
        <f t="shared" si="3"/>
        <v>windows-f32sv2-standard</v>
      </c>
      <c r="K30" s="23">
        <f t="shared" si="4"/>
        <v>362.10919999999999</v>
      </c>
      <c r="L30" s="24">
        <f t="shared" si="5"/>
        <v>625.58079999999995</v>
      </c>
      <c r="M30" s="11" t="str">
        <f t="shared" si="6"/>
        <v>32</v>
      </c>
      <c r="N30" s="11" t="str">
        <f t="shared" si="7"/>
        <v>32</v>
      </c>
      <c r="O30" s="18"/>
      <c r="Q30" s="10"/>
    </row>
    <row r="31" spans="3:17">
      <c r="C31" s="5" t="str">
        <f t="shared" si="0"/>
        <v>Virtual Server 32 Cores, 4GB</v>
      </c>
      <c r="D31" s="5">
        <v>32</v>
      </c>
      <c r="E31" s="5">
        <v>4</v>
      </c>
      <c r="F31" s="5">
        <v>111</v>
      </c>
      <c r="G31" s="5">
        <v>32</v>
      </c>
      <c r="H31" s="18" t="str">
        <f t="shared" si="1"/>
        <v>linux-f32sv2-standard</v>
      </c>
      <c r="I31" s="22">
        <f t="shared" si="2"/>
        <v>987.68999999999994</v>
      </c>
      <c r="J31" s="18" t="str">
        <f t="shared" si="3"/>
        <v>windows-f32sv2-standard</v>
      </c>
      <c r="K31" s="23">
        <f t="shared" si="4"/>
        <v>362.10919999999999</v>
      </c>
      <c r="L31" s="24">
        <f t="shared" si="5"/>
        <v>625.58079999999995</v>
      </c>
      <c r="M31" s="11" t="str">
        <f t="shared" si="6"/>
        <v>32</v>
      </c>
      <c r="N31" s="11" t="str">
        <f t="shared" si="7"/>
        <v>32</v>
      </c>
      <c r="O31" s="18"/>
      <c r="Q31" s="10"/>
    </row>
    <row r="32" spans="3:17">
      <c r="C32" s="5" t="str">
        <f t="shared" si="0"/>
        <v>Virtual Server 32 Cores, 8GB</v>
      </c>
      <c r="D32" s="5">
        <v>32</v>
      </c>
      <c r="E32" s="5">
        <v>8</v>
      </c>
      <c r="F32" s="5">
        <v>123</v>
      </c>
      <c r="G32" s="5">
        <v>256</v>
      </c>
      <c r="H32" s="18" t="str">
        <f t="shared" si="1"/>
        <v>linux-f32sv2-standard</v>
      </c>
      <c r="I32" s="22">
        <f t="shared" si="2"/>
        <v>987.68999999999994</v>
      </c>
      <c r="J32" s="18" t="str">
        <f t="shared" si="3"/>
        <v>windows-f32sv2-standard</v>
      </c>
      <c r="K32" s="23">
        <f t="shared" si="4"/>
        <v>362.10919999999999</v>
      </c>
      <c r="L32" s="24">
        <f t="shared" si="5"/>
        <v>625.58079999999995</v>
      </c>
      <c r="M32" s="11" t="str">
        <f t="shared" si="6"/>
        <v>32</v>
      </c>
      <c r="N32" s="11" t="str">
        <f t="shared" si="7"/>
        <v>32</v>
      </c>
      <c r="O32" s="18"/>
      <c r="Q32" s="10"/>
    </row>
    <row r="33" spans="3:17">
      <c r="C33" s="5" t="str">
        <f t="shared" si="0"/>
        <v>Virtual Server 32 Cores, 16GB</v>
      </c>
      <c r="D33" s="5">
        <v>32</v>
      </c>
      <c r="E33" s="5">
        <v>16</v>
      </c>
      <c r="F33" s="5">
        <v>51</v>
      </c>
      <c r="G33" s="5">
        <v>128</v>
      </c>
      <c r="H33" s="18" t="str">
        <f t="shared" si="1"/>
        <v>linux-f32sv2-standard</v>
      </c>
      <c r="I33" s="22">
        <f t="shared" si="2"/>
        <v>987.68999999999994</v>
      </c>
      <c r="J33" s="18" t="str">
        <f t="shared" si="3"/>
        <v>windows-f32sv2-standard</v>
      </c>
      <c r="K33" s="23">
        <f t="shared" si="4"/>
        <v>362.10919999999999</v>
      </c>
      <c r="L33" s="24">
        <f t="shared" si="5"/>
        <v>625.58079999999995</v>
      </c>
      <c r="M33" s="11" t="str">
        <f t="shared" si="6"/>
        <v>32</v>
      </c>
      <c r="N33" s="11" t="str">
        <f t="shared" si="7"/>
        <v>32</v>
      </c>
      <c r="O33" s="18"/>
      <c r="Q33" s="10"/>
    </row>
    <row r="34" spans="3:17">
      <c r="C34" s="5" t="str">
        <f t="shared" si="0"/>
        <v>Virtual Server 32 Cores, 32GB</v>
      </c>
      <c r="D34" s="5">
        <v>32</v>
      </c>
      <c r="E34" s="5">
        <v>32</v>
      </c>
      <c r="F34" s="5">
        <v>145</v>
      </c>
      <c r="G34" s="5">
        <v>256</v>
      </c>
      <c r="H34" s="18" t="str">
        <f t="shared" si="1"/>
        <v>linux-f32sv2-standard</v>
      </c>
      <c r="I34" s="22">
        <f t="shared" si="2"/>
        <v>987.68999999999994</v>
      </c>
      <c r="J34" s="18" t="str">
        <f t="shared" si="3"/>
        <v>windows-f32sv2-standard</v>
      </c>
      <c r="K34" s="23">
        <f t="shared" si="4"/>
        <v>362.10919999999999</v>
      </c>
      <c r="L34" s="24">
        <f t="shared" si="5"/>
        <v>625.58079999999995</v>
      </c>
      <c r="M34" s="11" t="str">
        <f t="shared" si="6"/>
        <v>32</v>
      </c>
      <c r="N34" s="11" t="str">
        <f t="shared" si="7"/>
        <v>32</v>
      </c>
      <c r="O34" s="18"/>
      <c r="Q34" s="10"/>
    </row>
    <row r="35" spans="3:17">
      <c r="C35" s="5" t="str">
        <f t="shared" si="0"/>
        <v>Virtual Server 32 Cores, 64GB</v>
      </c>
      <c r="D35" s="5">
        <v>32</v>
      </c>
      <c r="E35" s="5">
        <v>64</v>
      </c>
      <c r="F35" s="5">
        <v>46</v>
      </c>
      <c r="G35" s="5">
        <v>64</v>
      </c>
      <c r="H35" s="18" t="str">
        <f t="shared" si="1"/>
        <v>linux-f32sv2-standard</v>
      </c>
      <c r="I35" s="22">
        <f t="shared" si="2"/>
        <v>987.68999999999994</v>
      </c>
      <c r="J35" s="18" t="str">
        <f t="shared" si="3"/>
        <v>windows-f32sv2-standard</v>
      </c>
      <c r="K35" s="23">
        <f t="shared" si="4"/>
        <v>362.10919999999999</v>
      </c>
      <c r="L35" s="24">
        <f t="shared" si="5"/>
        <v>625.58079999999995</v>
      </c>
      <c r="M35" s="11" t="str">
        <f t="shared" si="6"/>
        <v>32</v>
      </c>
      <c r="N35" s="11" t="str">
        <f t="shared" si="7"/>
        <v>32</v>
      </c>
      <c r="O35" s="18"/>
      <c r="Q35" s="10"/>
    </row>
    <row r="36" spans="3:17">
      <c r="C36" s="5" t="str">
        <f t="shared" si="0"/>
        <v>Virtual Server 32 Cores, 128GB</v>
      </c>
      <c r="D36" s="5">
        <v>32</v>
      </c>
      <c r="E36" s="5">
        <v>128</v>
      </c>
      <c r="F36" s="5">
        <v>173</v>
      </c>
      <c r="G36" s="5">
        <v>256</v>
      </c>
      <c r="H36" s="18" t="str">
        <f t="shared" si="1"/>
        <v>linux-d32v3-standard</v>
      </c>
      <c r="I36" s="22">
        <f t="shared" si="2"/>
        <v>1121.28</v>
      </c>
      <c r="J36" s="18" t="str">
        <f t="shared" si="3"/>
        <v>windows-d32v3-standard</v>
      </c>
      <c r="K36" s="23">
        <f t="shared" si="4"/>
        <v>430.38610000000006</v>
      </c>
      <c r="L36" s="24">
        <f t="shared" si="5"/>
        <v>690.89389999999992</v>
      </c>
      <c r="M36" s="11" t="str">
        <f t="shared" si="6"/>
        <v>32</v>
      </c>
      <c r="N36" s="11" t="str">
        <f t="shared" si="7"/>
        <v>32</v>
      </c>
      <c r="O36" s="18"/>
      <c r="Q36" s="10"/>
    </row>
    <row r="37" spans="3:17">
      <c r="C37" s="5" t="str">
        <f t="shared" si="0"/>
        <v>Virtual Server 32 Cores, 256GB</v>
      </c>
      <c r="D37" s="5">
        <v>32</v>
      </c>
      <c r="E37" s="5">
        <v>256</v>
      </c>
      <c r="F37" s="5">
        <v>122</v>
      </c>
      <c r="G37" s="5">
        <v>160</v>
      </c>
      <c r="H37" s="18" t="str">
        <f t="shared" si="1"/>
        <v>linux-e32v3-standard</v>
      </c>
      <c r="I37" s="22">
        <f t="shared" si="2"/>
        <v>1553.44</v>
      </c>
      <c r="J37" s="18" t="str">
        <f t="shared" si="3"/>
        <v>windows-e32v3-standard</v>
      </c>
      <c r="K37" s="23">
        <f t="shared" si="4"/>
        <v>584.08029999999997</v>
      </c>
      <c r="L37" s="24">
        <f t="shared" si="5"/>
        <v>969.35970000000009</v>
      </c>
      <c r="M37" s="11" t="str">
        <f t="shared" si="6"/>
        <v>32</v>
      </c>
      <c r="N37" s="11" t="str">
        <f t="shared" si="7"/>
        <v>32</v>
      </c>
      <c r="O37" s="18"/>
      <c r="Q37" s="10"/>
    </row>
    <row r="38" spans="3:17">
      <c r="C38" s="5" t="str">
        <f t="shared" si="0"/>
        <v>Virtual Server 64 Cores, 128GB</v>
      </c>
      <c r="D38" s="5">
        <v>64</v>
      </c>
      <c r="E38" s="5">
        <v>128</v>
      </c>
      <c r="F38" s="5">
        <v>195</v>
      </c>
      <c r="G38" s="5">
        <v>64</v>
      </c>
      <c r="H38" s="18" t="str">
        <f t="shared" si="1"/>
        <v>linux-f64sv2-standard</v>
      </c>
      <c r="I38" s="22">
        <f t="shared" si="2"/>
        <v>1975.3799999999999</v>
      </c>
      <c r="J38" s="18" t="str">
        <f t="shared" si="3"/>
        <v>windows-f64sv2-standard</v>
      </c>
      <c r="K38" s="23">
        <f t="shared" si="4"/>
        <v>724.22570000000007</v>
      </c>
      <c r="L38" s="24">
        <f t="shared" si="5"/>
        <v>1251.1542999999997</v>
      </c>
      <c r="M38" s="11" t="str">
        <f t="shared" si="6"/>
        <v>64</v>
      </c>
      <c r="N38" s="11" t="str">
        <f t="shared" si="7"/>
        <v>64</v>
      </c>
      <c r="O38" s="18"/>
      <c r="Q38" s="10"/>
    </row>
    <row r="39" spans="3:17">
      <c r="C39" s="5" t="str">
        <f t="shared" si="0"/>
        <v>Virtual Server 64 Cores, 256GB</v>
      </c>
      <c r="D39" s="5">
        <v>64</v>
      </c>
      <c r="E39" s="5">
        <v>256</v>
      </c>
      <c r="F39" s="5">
        <v>10</v>
      </c>
      <c r="G39" s="5">
        <v>128</v>
      </c>
      <c r="H39" s="18" t="str">
        <f t="shared" si="1"/>
        <v>linux-d64v3-standard</v>
      </c>
      <c r="I39" s="22">
        <f t="shared" si="2"/>
        <v>2242.56</v>
      </c>
      <c r="J39" s="18" t="str">
        <f t="shared" si="3"/>
        <v>windows-d64v3-standard</v>
      </c>
      <c r="K39" s="23">
        <f t="shared" si="4"/>
        <v>860.77949999999998</v>
      </c>
      <c r="L39" s="24">
        <f t="shared" si="5"/>
        <v>1381.7804999999998</v>
      </c>
      <c r="M39" s="11" t="str">
        <f t="shared" si="6"/>
        <v>64</v>
      </c>
      <c r="N39" s="11" t="str">
        <f t="shared" si="7"/>
        <v>64</v>
      </c>
      <c r="O39" s="18"/>
      <c r="Q39" s="10"/>
    </row>
    <row r="40" spans="3:17">
      <c r="C40" s="5" t="str">
        <f t="shared" si="0"/>
        <v>Virtual Server 64 Cores, 512GB</v>
      </c>
      <c r="D40" s="5">
        <v>64</v>
      </c>
      <c r="E40" s="5">
        <v>512</v>
      </c>
      <c r="F40" s="5">
        <v>184</v>
      </c>
      <c r="G40" s="5">
        <v>256</v>
      </c>
      <c r="H40" s="18" t="str">
        <f t="shared" si="1"/>
        <v>linux-m64ls-standard</v>
      </c>
      <c r="I40" s="22">
        <f t="shared" si="2"/>
        <v>3952.95</v>
      </c>
      <c r="J40" s="18" t="str">
        <f t="shared" si="3"/>
        <v>windows-m64ls-standard</v>
      </c>
      <c r="K40" s="23">
        <f t="shared" si="4"/>
        <v>1105.9135000000001</v>
      </c>
      <c r="L40" s="24">
        <f t="shared" si="5"/>
        <v>2847.0364999999997</v>
      </c>
      <c r="M40" s="11" t="str">
        <f t="shared" si="6"/>
        <v>64</v>
      </c>
      <c r="N40" s="11" t="str">
        <f t="shared" si="7"/>
        <v>64</v>
      </c>
      <c r="O40" s="18"/>
      <c r="Q40" s="10"/>
    </row>
    <row r="41" spans="3:17">
      <c r="C41" s="5" t="str">
        <f t="shared" si="0"/>
        <v>Virtual Server 64 Cores, 1024GB</v>
      </c>
      <c r="D41" s="5">
        <v>64</v>
      </c>
      <c r="E41" s="5">
        <v>1024</v>
      </c>
      <c r="F41" s="5">
        <v>73</v>
      </c>
      <c r="G41" s="5">
        <v>256</v>
      </c>
      <c r="H41" s="18" t="str">
        <f t="shared" si="1"/>
        <v>linux-m64s-standard</v>
      </c>
      <c r="I41" s="22">
        <f t="shared" si="2"/>
        <v>4868.37</v>
      </c>
      <c r="J41" s="18" t="str">
        <f t="shared" si="3"/>
        <v>windows-m64s-standard</v>
      </c>
      <c r="K41" s="23">
        <f t="shared" si="4"/>
        <v>1358.3621000000001</v>
      </c>
      <c r="L41" s="24">
        <f t="shared" si="5"/>
        <v>3510.0078999999996</v>
      </c>
      <c r="M41" s="11" t="str">
        <f t="shared" si="6"/>
        <v>64</v>
      </c>
      <c r="N41" s="11" t="str">
        <f t="shared" si="7"/>
        <v>64</v>
      </c>
      <c r="O41" s="18"/>
      <c r="Q41" s="10"/>
    </row>
    <row r="42" spans="3:17">
      <c r="C42" s="5" t="str">
        <f t="shared" si="0"/>
        <v>Virtual Server 64 Cores, 2048GB</v>
      </c>
      <c r="D42" s="5">
        <v>64</v>
      </c>
      <c r="E42" s="5">
        <v>2048</v>
      </c>
      <c r="F42" s="5">
        <v>67</v>
      </c>
      <c r="G42" s="5">
        <v>224</v>
      </c>
      <c r="H42" s="18" t="str">
        <f t="shared" si="1"/>
        <v>linux-m128s-standard</v>
      </c>
      <c r="I42" s="22">
        <f t="shared" si="2"/>
        <v>9736.74</v>
      </c>
      <c r="J42" s="18" t="str">
        <f t="shared" si="3"/>
        <v>windows-m128s-standard</v>
      </c>
      <c r="K42" s="23">
        <f t="shared" si="4"/>
        <v>2716.7753000000002</v>
      </c>
      <c r="L42" s="24">
        <f t="shared" si="5"/>
        <v>7019.9646999999995</v>
      </c>
      <c r="M42" s="11" t="str">
        <f t="shared" si="6"/>
        <v>128</v>
      </c>
      <c r="N42" s="11" t="str">
        <f t="shared" si="7"/>
        <v>128</v>
      </c>
      <c r="O42" s="18"/>
      <c r="Q42" s="10"/>
    </row>
    <row r="43" spans="3:17">
      <c r="C43" s="5" t="str">
        <f t="shared" si="0"/>
        <v>Virtual Server 50 Cores, 3800GB</v>
      </c>
      <c r="D43" s="5">
        <v>50</v>
      </c>
      <c r="E43" s="5">
        <v>3800</v>
      </c>
      <c r="F43" s="5">
        <v>184</v>
      </c>
      <c r="G43" s="5">
        <v>256</v>
      </c>
      <c r="H43" s="18" t="str">
        <f t="shared" si="1"/>
        <v>linux-m128-64ms-standard</v>
      </c>
      <c r="I43" s="22">
        <f t="shared" si="2"/>
        <v>19482.239999999998</v>
      </c>
      <c r="J43" s="18" t="str">
        <f t="shared" si="3"/>
        <v>windows-m128-64ms-standard</v>
      </c>
      <c r="K43" s="23" t="e">
        <f t="shared" si="4"/>
        <v>#VALUE!</v>
      </c>
      <c r="L43" s="24" t="e">
        <f t="shared" si="5"/>
        <v>#VALUE!</v>
      </c>
      <c r="M43" s="11" t="str">
        <f t="shared" si="6"/>
        <v>64</v>
      </c>
      <c r="N43" s="11" t="str">
        <f t="shared" si="7"/>
        <v>64</v>
      </c>
      <c r="O43" s="18"/>
      <c r="Q43" s="10"/>
    </row>
    <row r="44" spans="3:17">
      <c r="C44" s="5" t="str">
        <f t="shared" si="0"/>
        <v>Virtual Server 74 Cores, 128GB</v>
      </c>
      <c r="D44" s="5">
        <v>74</v>
      </c>
      <c r="E44" s="5">
        <v>128</v>
      </c>
      <c r="F44" s="5">
        <v>19</v>
      </c>
      <c r="G44" s="5">
        <v>192</v>
      </c>
      <c r="H44" s="18" t="str">
        <f t="shared" si="1"/>
        <v>linux-m128s-standard</v>
      </c>
      <c r="I44" s="22">
        <f t="shared" si="2"/>
        <v>9736.74</v>
      </c>
      <c r="J44" s="18" t="str">
        <f t="shared" si="3"/>
        <v>windows-m128s-standard</v>
      </c>
      <c r="K44" s="23">
        <f t="shared" si="4"/>
        <v>2716.7753000000002</v>
      </c>
      <c r="L44" s="24">
        <f t="shared" si="5"/>
        <v>7019.9646999999995</v>
      </c>
      <c r="M44" s="11" t="str">
        <f t="shared" si="6"/>
        <v>128</v>
      </c>
      <c r="N44" s="11" t="str">
        <f t="shared" si="7"/>
        <v>128</v>
      </c>
      <c r="O44" s="18"/>
      <c r="Q44" s="10"/>
    </row>
    <row r="45" spans="3:17">
      <c r="C45" s="5" t="str">
        <f t="shared" si="0"/>
        <v>Virtual Server 74 Cores, 256GB</v>
      </c>
      <c r="D45" s="5">
        <v>74</v>
      </c>
      <c r="E45" s="5">
        <v>256</v>
      </c>
      <c r="F45" s="5">
        <v>172</v>
      </c>
      <c r="G45" s="5">
        <v>128</v>
      </c>
      <c r="H45" s="18" t="str">
        <f t="shared" si="1"/>
        <v>linux-m128s-standard</v>
      </c>
      <c r="I45" s="22">
        <f t="shared" si="2"/>
        <v>9736.74</v>
      </c>
      <c r="J45" s="18" t="str">
        <f t="shared" si="3"/>
        <v>windows-m128s-standard</v>
      </c>
      <c r="K45" s="23">
        <f t="shared" si="4"/>
        <v>2716.7753000000002</v>
      </c>
      <c r="L45" s="24">
        <f t="shared" si="5"/>
        <v>7019.9646999999995</v>
      </c>
      <c r="M45" s="11" t="str">
        <f t="shared" si="6"/>
        <v>128</v>
      </c>
      <c r="N45" s="11" t="str">
        <f t="shared" si="7"/>
        <v>128</v>
      </c>
      <c r="O45" s="18"/>
      <c r="Q45" s="10"/>
    </row>
    <row r="46" spans="3:17">
      <c r="C46" s="5" t="str">
        <f t="shared" si="0"/>
        <v>Virtual Server 74 Cores, 512GB</v>
      </c>
      <c r="D46" s="5">
        <v>74</v>
      </c>
      <c r="E46" s="5">
        <v>512</v>
      </c>
      <c r="F46" s="5">
        <v>108</v>
      </c>
      <c r="G46" s="5">
        <v>288</v>
      </c>
      <c r="H46" s="18" t="str">
        <f t="shared" si="1"/>
        <v>linux-m128s-standard</v>
      </c>
      <c r="I46" s="22">
        <f t="shared" si="2"/>
        <v>9736.74</v>
      </c>
      <c r="J46" s="18" t="str">
        <f t="shared" si="3"/>
        <v>windows-m128s-standard</v>
      </c>
      <c r="K46" s="23">
        <f t="shared" si="4"/>
        <v>2716.7753000000002</v>
      </c>
      <c r="L46" s="24">
        <f t="shared" si="5"/>
        <v>7019.9646999999995</v>
      </c>
      <c r="M46" s="11" t="str">
        <f t="shared" si="6"/>
        <v>128</v>
      </c>
      <c r="N46" s="11" t="str">
        <f t="shared" si="7"/>
        <v>128</v>
      </c>
      <c r="O46" s="18"/>
      <c r="Q46" s="10"/>
    </row>
    <row r="47" spans="3:17">
      <c r="C47" s="5" t="str">
        <f t="shared" si="0"/>
        <v>Virtual Server 74 Cores, 1024GB</v>
      </c>
      <c r="D47" s="5">
        <v>74</v>
      </c>
      <c r="E47" s="5">
        <v>1024</v>
      </c>
      <c r="F47" s="5">
        <v>33</v>
      </c>
      <c r="G47" s="5">
        <v>256</v>
      </c>
      <c r="H47" s="18" t="str">
        <f t="shared" si="1"/>
        <v>linux-m128s-standard</v>
      </c>
      <c r="I47" s="22">
        <f t="shared" si="2"/>
        <v>9736.74</v>
      </c>
      <c r="J47" s="18" t="str">
        <f t="shared" si="3"/>
        <v>windows-m128s-standard</v>
      </c>
      <c r="K47" s="23">
        <f t="shared" si="4"/>
        <v>2716.7753000000002</v>
      </c>
      <c r="L47" s="24">
        <f t="shared" si="5"/>
        <v>7019.9646999999995</v>
      </c>
      <c r="M47" s="11" t="str">
        <f t="shared" si="6"/>
        <v>128</v>
      </c>
      <c r="N47" s="11" t="str">
        <f t="shared" si="7"/>
        <v>128</v>
      </c>
      <c r="O47" s="18"/>
      <c r="Q47" s="10"/>
    </row>
    <row r="48" spans="3:17">
      <c r="C48" s="5" t="str">
        <f t="shared" si="0"/>
        <v>Virtual Server 74 Cores, 2048GB</v>
      </c>
      <c r="D48" s="5">
        <v>74</v>
      </c>
      <c r="E48" s="5">
        <v>2048</v>
      </c>
      <c r="F48" s="5">
        <v>19</v>
      </c>
      <c r="G48" s="5">
        <v>256</v>
      </c>
      <c r="H48" s="18" t="str">
        <f t="shared" si="1"/>
        <v>linux-m128s-standard</v>
      </c>
      <c r="I48" s="22">
        <f t="shared" si="2"/>
        <v>9736.74</v>
      </c>
      <c r="J48" s="18" t="str">
        <f t="shared" si="3"/>
        <v>windows-m128s-standard</v>
      </c>
      <c r="K48" s="23">
        <f t="shared" si="4"/>
        <v>2716.7753000000002</v>
      </c>
      <c r="L48" s="24">
        <f t="shared" si="5"/>
        <v>7019.9646999999995</v>
      </c>
      <c r="M48" s="11" t="str">
        <f t="shared" si="6"/>
        <v>128</v>
      </c>
      <c r="N48" s="11" t="str">
        <f t="shared" si="7"/>
        <v>128</v>
      </c>
      <c r="O48" s="18"/>
      <c r="Q48" s="10"/>
    </row>
    <row r="49" spans="3:18">
      <c r="C49" s="5" t="str">
        <f t="shared" si="0"/>
        <v>Virtual Server 74 Cores, 3800GB</v>
      </c>
      <c r="D49" s="5">
        <v>74</v>
      </c>
      <c r="E49" s="5">
        <v>3800</v>
      </c>
      <c r="F49" s="5">
        <v>132</v>
      </c>
      <c r="G49" s="5">
        <v>32</v>
      </c>
      <c r="H49" s="18" t="str">
        <f t="shared" si="1"/>
        <v>linux-m128ms-standard</v>
      </c>
      <c r="I49" s="22">
        <f t="shared" si="2"/>
        <v>19482.239999999998</v>
      </c>
      <c r="J49" s="18" t="str">
        <f t="shared" si="3"/>
        <v>windows-m128ms-standard</v>
      </c>
      <c r="K49" s="23">
        <f t="shared" si="4"/>
        <v>5435.6383999999998</v>
      </c>
      <c r="L49" s="24">
        <f t="shared" si="5"/>
        <v>14046.601599999998</v>
      </c>
      <c r="M49" s="11" t="str">
        <f t="shared" si="6"/>
        <v>128</v>
      </c>
      <c r="N49" s="11" t="str">
        <f t="shared" si="7"/>
        <v>128</v>
      </c>
      <c r="O49" s="18"/>
      <c r="Q49" s="10"/>
    </row>
    <row r="50" spans="3:18">
      <c r="J50" s="6"/>
      <c r="K50" s="6"/>
      <c r="L50" s="6"/>
      <c r="M50" s="10"/>
      <c r="N50" s="10"/>
      <c r="P50" s="6"/>
      <c r="Q50" s="10"/>
      <c r="R50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A5193-9179-49A0-8FCC-F792AE1D2E9C}">
  <sheetPr codeName="Sheet5"/>
  <dimension ref="A2:N21"/>
  <sheetViews>
    <sheetView zoomScale="129" workbookViewId="0">
      <selection activeCell="D30" sqref="D30"/>
    </sheetView>
  </sheetViews>
  <sheetFormatPr defaultRowHeight="15"/>
  <cols>
    <col min="2" max="2" width="14.140625" customWidth="1"/>
    <col min="3" max="3" width="22.42578125" customWidth="1"/>
    <col min="4" max="4" width="14.140625" customWidth="1"/>
    <col min="6" max="6" width="28.7109375" customWidth="1"/>
  </cols>
  <sheetData>
    <row r="2" spans="1:14">
      <c r="H2" s="21"/>
    </row>
    <row r="3" spans="1:14">
      <c r="B3" s="2" t="s">
        <v>118</v>
      </c>
      <c r="C3" s="2" t="s">
        <v>119</v>
      </c>
      <c r="D3" s="2" t="s">
        <v>120</v>
      </c>
      <c r="E3" s="2"/>
      <c r="F3" s="2" t="s">
        <v>116</v>
      </c>
      <c r="G3" s="2" t="s">
        <v>117</v>
      </c>
      <c r="H3" s="2" t="s">
        <v>41</v>
      </c>
      <c r="I3" s="2" t="s">
        <v>39</v>
      </c>
      <c r="J3" s="2" t="s">
        <v>40</v>
      </c>
      <c r="K3" s="2" t="s">
        <v>24</v>
      </c>
      <c r="L3" s="2" t="s">
        <v>25</v>
      </c>
      <c r="M3" s="2" t="s">
        <v>26</v>
      </c>
      <c r="N3" s="2" t="s">
        <v>27</v>
      </c>
    </row>
    <row r="4" spans="1:14">
      <c r="A4" t="s">
        <v>20</v>
      </c>
      <c r="B4">
        <v>32</v>
      </c>
      <c r="C4" s="17" t="str">
        <f>getManagedDisk(B4,$A$4,$A$5)</f>
        <v>standardhdd-s4</v>
      </c>
      <c r="D4" s="17">
        <f>getManagedDiskPriceMonth(C4,$A$4,$A$5)</f>
        <v>1.536</v>
      </c>
      <c r="E4" t="str">
        <f>getMDiskData(C4,$A$4,$A$5,"IOPS")</f>
        <v/>
      </c>
      <c r="F4" t="str">
        <f>getMDiskData($C4,$A$4,$A$5,F$3)</f>
        <v>Standard HDD S4</v>
      </c>
      <c r="G4" t="str">
        <f t="shared" ref="G4:N19" si="0">getMDiskData($C4,$A$4,$A$5,G$3)</f>
        <v>False</v>
      </c>
      <c r="H4" t="str">
        <f t="shared" si="0"/>
        <v>32</v>
      </c>
      <c r="I4" t="str">
        <f t="shared" si="0"/>
        <v/>
      </c>
      <c r="J4" t="str">
        <f t="shared" si="0"/>
        <v/>
      </c>
      <c r="K4" t="str">
        <f t="shared" si="0"/>
        <v>0.0005</v>
      </c>
      <c r="L4" t="str">
        <f t="shared" si="0"/>
        <v/>
      </c>
      <c r="M4" t="str">
        <f t="shared" si="0"/>
        <v>0.05</v>
      </c>
      <c r="N4" t="str">
        <f t="shared" si="0"/>
        <v>0.05</v>
      </c>
    </row>
    <row r="5" spans="1:14">
      <c r="A5" t="s">
        <v>122</v>
      </c>
      <c r="B5">
        <f t="shared" ref="B5:B11" si="1">B4*2</f>
        <v>64</v>
      </c>
      <c r="C5" s="17" t="str">
        <f t="shared" ref="C5:C10" si="2">getManagedDisk(B5,$A$4,$A$5)</f>
        <v>standardhdd-s6</v>
      </c>
      <c r="D5" s="17">
        <f t="shared" ref="D5:D11" si="3">getManagedDiskPriceMonth(C5,$A$4,$A$5)</f>
        <v>3.008</v>
      </c>
      <c r="E5" t="str">
        <f t="shared" ref="E5:E11" si="4">getMDiskData(C5,$A$4,$A$5,"IOPS")</f>
        <v/>
      </c>
      <c r="F5" t="str">
        <f t="shared" ref="F5:F11" si="5">getMDiskData($C5,$A$4,$A$5,F$3)</f>
        <v>Standard HDD S6</v>
      </c>
      <c r="G5" t="str">
        <f t="shared" si="0"/>
        <v>False</v>
      </c>
      <c r="H5" t="str">
        <f t="shared" si="0"/>
        <v>64</v>
      </c>
      <c r="I5" t="str">
        <f t="shared" si="0"/>
        <v/>
      </c>
      <c r="J5" t="str">
        <f t="shared" si="0"/>
        <v/>
      </c>
      <c r="K5" t="str">
        <f t="shared" si="0"/>
        <v>0.0005</v>
      </c>
      <c r="L5" t="str">
        <f t="shared" si="0"/>
        <v/>
      </c>
      <c r="M5" t="str">
        <f t="shared" si="0"/>
        <v>0.05</v>
      </c>
      <c r="N5" t="str">
        <f t="shared" si="0"/>
        <v>0.05</v>
      </c>
    </row>
    <row r="6" spans="1:14">
      <c r="B6">
        <f t="shared" si="1"/>
        <v>128</v>
      </c>
      <c r="C6" s="17" t="str">
        <f t="shared" si="2"/>
        <v>standardhdd-s10</v>
      </c>
      <c r="D6" s="17">
        <f>getManagedDiskPriceMonth(C6,$A$4,$A$5)*2</f>
        <v>11.776</v>
      </c>
      <c r="E6" t="str">
        <f t="shared" si="4"/>
        <v/>
      </c>
      <c r="F6" t="str">
        <f t="shared" si="5"/>
        <v>Standard HDD S10</v>
      </c>
      <c r="G6" t="str">
        <f t="shared" si="0"/>
        <v>False</v>
      </c>
      <c r="H6" t="str">
        <f t="shared" si="0"/>
        <v>128</v>
      </c>
      <c r="I6" t="str">
        <f t="shared" si="0"/>
        <v/>
      </c>
      <c r="J6" t="str">
        <f t="shared" si="0"/>
        <v/>
      </c>
      <c r="K6" t="str">
        <f t="shared" si="0"/>
        <v>0.0005</v>
      </c>
      <c r="L6" t="str">
        <f t="shared" si="0"/>
        <v/>
      </c>
      <c r="M6" t="str">
        <f t="shared" si="0"/>
        <v>0.05</v>
      </c>
      <c r="N6" t="str">
        <f t="shared" si="0"/>
        <v>0.05</v>
      </c>
    </row>
    <row r="7" spans="1:14">
      <c r="B7">
        <f t="shared" si="1"/>
        <v>256</v>
      </c>
      <c r="C7" s="17" t="str">
        <f t="shared" si="2"/>
        <v>standardhdd-s15</v>
      </c>
      <c r="D7" s="17">
        <f t="shared" si="3"/>
        <v>11.327999999999999</v>
      </c>
      <c r="E7" t="str">
        <f t="shared" si="4"/>
        <v/>
      </c>
      <c r="F7" t="str">
        <f t="shared" si="5"/>
        <v>Standard HDD S15</v>
      </c>
      <c r="G7" t="str">
        <f t="shared" si="0"/>
        <v>False</v>
      </c>
      <c r="H7" t="str">
        <f t="shared" si="0"/>
        <v>256</v>
      </c>
      <c r="I7" t="str">
        <f t="shared" si="0"/>
        <v/>
      </c>
      <c r="J7" t="str">
        <f t="shared" si="0"/>
        <v/>
      </c>
      <c r="K7" t="str">
        <f t="shared" si="0"/>
        <v>0.0005</v>
      </c>
      <c r="L7" t="str">
        <f t="shared" si="0"/>
        <v/>
      </c>
      <c r="M7" t="str">
        <f t="shared" si="0"/>
        <v>0.05</v>
      </c>
      <c r="N7" t="str">
        <f t="shared" si="0"/>
        <v>0.05</v>
      </c>
    </row>
    <row r="8" spans="1:14">
      <c r="B8">
        <f t="shared" si="1"/>
        <v>512</v>
      </c>
      <c r="C8" s="17" t="str">
        <f t="shared" si="2"/>
        <v>standardhdd-s20</v>
      </c>
      <c r="D8" s="17">
        <f t="shared" si="3"/>
        <v>21.76</v>
      </c>
      <c r="E8" t="str">
        <f t="shared" si="4"/>
        <v/>
      </c>
      <c r="F8" t="str">
        <f t="shared" si="5"/>
        <v>Standard HDD S20</v>
      </c>
      <c r="G8" t="str">
        <f t="shared" si="0"/>
        <v>False</v>
      </c>
      <c r="H8" t="str">
        <f t="shared" si="0"/>
        <v>512</v>
      </c>
      <c r="I8" t="str">
        <f t="shared" si="0"/>
        <v/>
      </c>
      <c r="J8" t="str">
        <f t="shared" si="0"/>
        <v/>
      </c>
      <c r="K8" t="str">
        <f t="shared" si="0"/>
        <v>0.0005</v>
      </c>
      <c r="L8" t="str">
        <f t="shared" si="0"/>
        <v/>
      </c>
      <c r="M8" t="str">
        <f t="shared" si="0"/>
        <v>0.05</v>
      </c>
      <c r="N8" t="str">
        <f t="shared" si="0"/>
        <v>0.05</v>
      </c>
    </row>
    <row r="9" spans="1:14">
      <c r="B9">
        <f t="shared" si="1"/>
        <v>1024</v>
      </c>
      <c r="C9" s="17" t="str">
        <f t="shared" si="2"/>
        <v>standardhdd-s30</v>
      </c>
      <c r="D9" s="17">
        <f t="shared" si="3"/>
        <v>40.96</v>
      </c>
      <c r="E9" t="str">
        <f t="shared" si="4"/>
        <v/>
      </c>
      <c r="F9" t="str">
        <f t="shared" si="5"/>
        <v>Standard HDD S30</v>
      </c>
      <c r="G9" t="str">
        <f t="shared" si="0"/>
        <v>False</v>
      </c>
      <c r="H9" t="str">
        <f t="shared" si="0"/>
        <v>1024</v>
      </c>
      <c r="I9" t="str">
        <f t="shared" si="0"/>
        <v/>
      </c>
      <c r="J9" t="str">
        <f t="shared" si="0"/>
        <v/>
      </c>
      <c r="K9" t="str">
        <f t="shared" si="0"/>
        <v>0.0005</v>
      </c>
      <c r="L9" t="str">
        <f t="shared" si="0"/>
        <v/>
      </c>
      <c r="M9" t="str">
        <f t="shared" si="0"/>
        <v>0.05</v>
      </c>
      <c r="N9" t="str">
        <f t="shared" si="0"/>
        <v>0.05</v>
      </c>
    </row>
    <row r="10" spans="1:14">
      <c r="B10">
        <f t="shared" si="1"/>
        <v>2048</v>
      </c>
      <c r="C10" s="17" t="str">
        <f t="shared" si="2"/>
        <v>standardhdd-s40</v>
      </c>
      <c r="D10" s="17">
        <f t="shared" si="3"/>
        <v>81.92</v>
      </c>
      <c r="E10" t="str">
        <f t="shared" si="4"/>
        <v/>
      </c>
      <c r="F10" t="str">
        <f t="shared" si="5"/>
        <v>Standard HDD S40</v>
      </c>
      <c r="G10" t="str">
        <f t="shared" si="0"/>
        <v>False</v>
      </c>
      <c r="H10" t="str">
        <f t="shared" si="0"/>
        <v>2048</v>
      </c>
      <c r="I10" t="str">
        <f t="shared" si="0"/>
        <v/>
      </c>
      <c r="J10" t="str">
        <f t="shared" si="0"/>
        <v/>
      </c>
      <c r="K10" t="str">
        <f t="shared" si="0"/>
        <v>0.0005</v>
      </c>
      <c r="L10" t="str">
        <f t="shared" si="0"/>
        <v/>
      </c>
      <c r="M10" t="str">
        <f t="shared" si="0"/>
        <v>0.05</v>
      </c>
      <c r="N10" t="str">
        <f t="shared" si="0"/>
        <v>0.05</v>
      </c>
    </row>
    <row r="11" spans="1:14">
      <c r="B11">
        <f t="shared" si="1"/>
        <v>4096</v>
      </c>
      <c r="C11" s="17" t="str">
        <f>getManagedDisk(B11,$A$4,$A$5,"-S60")</f>
        <v>standardhdd-s50</v>
      </c>
      <c r="D11" s="17">
        <f t="shared" si="3"/>
        <v>163.84</v>
      </c>
      <c r="E11" t="str">
        <f t="shared" si="4"/>
        <v/>
      </c>
      <c r="F11" t="str">
        <f t="shared" si="5"/>
        <v>Standard HDD S50</v>
      </c>
      <c r="G11" t="str">
        <f t="shared" si="0"/>
        <v>False</v>
      </c>
      <c r="H11" t="str">
        <f t="shared" si="0"/>
        <v>4096</v>
      </c>
      <c r="I11" t="str">
        <f t="shared" si="0"/>
        <v/>
      </c>
      <c r="J11" t="str">
        <f t="shared" si="0"/>
        <v/>
      </c>
      <c r="K11" t="str">
        <f t="shared" si="0"/>
        <v>0.0005</v>
      </c>
      <c r="L11" t="str">
        <f t="shared" si="0"/>
        <v/>
      </c>
      <c r="M11" t="str">
        <f t="shared" si="0"/>
        <v>0.05</v>
      </c>
      <c r="N11" t="str">
        <f t="shared" si="0"/>
        <v>0.05</v>
      </c>
    </row>
    <row r="13" spans="1:14">
      <c r="B13">
        <v>32</v>
      </c>
      <c r="C13" s="17" t="str">
        <f>getManagedDisk(B13,$A$4,$A$5,,"premium")</f>
        <v>premiumssd-p4</v>
      </c>
      <c r="D13" s="17">
        <f>getManagedDiskPriceMonth(C13,$A$4,$A$5)</f>
        <v>5.2794999999999996</v>
      </c>
      <c r="E13" t="str">
        <f t="shared" ref="E13:E20" si="6">getMDiskData(C13,$A$4,$A$5,"IOPS")</f>
        <v>120</v>
      </c>
      <c r="F13" t="str">
        <f t="shared" ref="F13:N21" si="7">getMDiskData($C13,$A$4,$A$5,F$3)</f>
        <v>Premium SSD P4</v>
      </c>
      <c r="G13" t="str">
        <f t="shared" si="7"/>
        <v>False</v>
      </c>
      <c r="H13" t="str">
        <f t="shared" si="0"/>
        <v>32</v>
      </c>
      <c r="I13" t="str">
        <f t="shared" si="0"/>
        <v>120</v>
      </c>
      <c r="J13" t="str">
        <f t="shared" si="0"/>
        <v>25</v>
      </c>
      <c r="K13" t="str">
        <f t="shared" si="0"/>
        <v>0.002</v>
      </c>
      <c r="L13" t="str">
        <f t="shared" si="0"/>
        <v>0.132</v>
      </c>
      <c r="M13" t="str">
        <f t="shared" si="0"/>
        <v/>
      </c>
      <c r="N13" t="str">
        <f t="shared" si="0"/>
        <v/>
      </c>
    </row>
    <row r="14" spans="1:14">
      <c r="B14">
        <f t="shared" ref="B14:B20" si="8">B13*2</f>
        <v>64</v>
      </c>
      <c r="C14" s="17" t="str">
        <f t="shared" ref="C14:C20" si="9">getManagedDisk(B14,$A$4,$A$5,,"premium")</f>
        <v>premiumssd-p6</v>
      </c>
      <c r="D14" s="17">
        <f t="shared" ref="D14:D19" si="10">getManagedDiskPriceMonth(C14,$A$4,$A$5)</f>
        <v>10.207000000000001</v>
      </c>
      <c r="E14" t="str">
        <f t="shared" si="6"/>
        <v>240</v>
      </c>
      <c r="F14" t="str">
        <f t="shared" si="7"/>
        <v>Premium SSD P6</v>
      </c>
      <c r="G14" t="str">
        <f t="shared" si="7"/>
        <v>False</v>
      </c>
      <c r="H14" t="str">
        <f t="shared" si="0"/>
        <v>64</v>
      </c>
      <c r="I14" t="str">
        <f t="shared" si="0"/>
        <v>240</v>
      </c>
      <c r="J14" t="str">
        <f t="shared" si="0"/>
        <v>50</v>
      </c>
      <c r="K14" t="str">
        <f t="shared" si="0"/>
        <v>0.002</v>
      </c>
      <c r="L14" t="str">
        <f t="shared" si="0"/>
        <v>0.132</v>
      </c>
      <c r="M14" t="str">
        <f t="shared" si="0"/>
        <v/>
      </c>
      <c r="N14" t="str">
        <f t="shared" si="0"/>
        <v/>
      </c>
    </row>
    <row r="15" spans="1:14">
      <c r="B15">
        <f t="shared" si="8"/>
        <v>128</v>
      </c>
      <c r="C15" s="17" t="str">
        <f t="shared" si="9"/>
        <v>premiumssd-p10</v>
      </c>
      <c r="D15" s="17">
        <f t="shared" si="10"/>
        <v>19.71</v>
      </c>
      <c r="E15" t="str">
        <f t="shared" si="6"/>
        <v>500</v>
      </c>
      <c r="F15" t="str">
        <f t="shared" si="7"/>
        <v>Premium SSD P10</v>
      </c>
      <c r="G15" t="str">
        <f t="shared" si="7"/>
        <v>False</v>
      </c>
      <c r="H15" t="str">
        <f t="shared" si="0"/>
        <v>128</v>
      </c>
      <c r="I15" t="str">
        <f t="shared" si="0"/>
        <v>500</v>
      </c>
      <c r="J15" t="str">
        <f t="shared" si="0"/>
        <v>100</v>
      </c>
      <c r="K15" t="str">
        <f t="shared" si="0"/>
        <v>0.002</v>
      </c>
      <c r="L15" t="str">
        <f t="shared" si="0"/>
        <v>0.132</v>
      </c>
      <c r="M15" t="str">
        <f t="shared" si="0"/>
        <v/>
      </c>
      <c r="N15" t="str">
        <f t="shared" si="0"/>
        <v/>
      </c>
    </row>
    <row r="16" spans="1:14">
      <c r="B16">
        <f t="shared" si="8"/>
        <v>256</v>
      </c>
      <c r="C16" s="17" t="str">
        <f t="shared" si="9"/>
        <v>premiumssd-p15</v>
      </c>
      <c r="D16" s="17">
        <f t="shared" si="10"/>
        <v>38.012141999999997</v>
      </c>
      <c r="E16" t="str">
        <f t="shared" si="6"/>
        <v>1100</v>
      </c>
      <c r="F16" t="str">
        <f t="shared" si="7"/>
        <v>Premium SSD P15</v>
      </c>
      <c r="G16" t="str">
        <f t="shared" si="7"/>
        <v>False</v>
      </c>
      <c r="H16" t="str">
        <f t="shared" si="0"/>
        <v>256</v>
      </c>
      <c r="I16" t="str">
        <f t="shared" si="0"/>
        <v>1100</v>
      </c>
      <c r="J16" t="str">
        <f t="shared" si="0"/>
        <v>125</v>
      </c>
      <c r="K16" t="str">
        <f t="shared" si="0"/>
        <v>0.002</v>
      </c>
      <c r="L16" t="str">
        <f t="shared" si="0"/>
        <v>0.132</v>
      </c>
      <c r="M16" t="str">
        <f t="shared" si="0"/>
        <v/>
      </c>
      <c r="N16" t="str">
        <f t="shared" si="0"/>
        <v/>
      </c>
    </row>
    <row r="17" spans="2:14">
      <c r="B17">
        <f t="shared" si="8"/>
        <v>512</v>
      </c>
      <c r="C17" s="17" t="str">
        <f t="shared" si="9"/>
        <v>premiumssd-p20</v>
      </c>
      <c r="D17" s="17">
        <f t="shared" si="10"/>
        <v>73.22</v>
      </c>
      <c r="E17" t="str">
        <f t="shared" si="6"/>
        <v>2300</v>
      </c>
      <c r="F17" t="str">
        <f t="shared" si="7"/>
        <v>Premium SSD P20</v>
      </c>
      <c r="G17" t="str">
        <f t="shared" si="7"/>
        <v>False</v>
      </c>
      <c r="H17" t="str">
        <f t="shared" si="0"/>
        <v>512</v>
      </c>
      <c r="I17" t="str">
        <f t="shared" si="0"/>
        <v>2300</v>
      </c>
      <c r="J17" t="str">
        <f t="shared" si="0"/>
        <v>150</v>
      </c>
      <c r="K17" t="str">
        <f t="shared" si="0"/>
        <v>0.002</v>
      </c>
      <c r="L17" t="str">
        <f t="shared" si="0"/>
        <v>0.132</v>
      </c>
      <c r="M17" t="str">
        <f t="shared" si="0"/>
        <v/>
      </c>
      <c r="N17" t="str">
        <f t="shared" si="0"/>
        <v/>
      </c>
    </row>
    <row r="18" spans="2:14">
      <c r="B18">
        <f t="shared" si="8"/>
        <v>1024</v>
      </c>
      <c r="C18" s="17" t="str">
        <f t="shared" si="9"/>
        <v>premiumssd-p30</v>
      </c>
      <c r="D18" s="17">
        <f t="shared" si="10"/>
        <v>135.16999999999999</v>
      </c>
      <c r="E18" t="str">
        <f t="shared" si="6"/>
        <v>5000</v>
      </c>
      <c r="F18" t="str">
        <f t="shared" si="7"/>
        <v>Premium SSD P30</v>
      </c>
      <c r="G18" t="str">
        <f t="shared" si="7"/>
        <v>False</v>
      </c>
      <c r="H18" t="str">
        <f t="shared" si="0"/>
        <v>1024</v>
      </c>
      <c r="I18" t="str">
        <f t="shared" si="0"/>
        <v>5000</v>
      </c>
      <c r="J18" t="str">
        <f t="shared" si="0"/>
        <v>200</v>
      </c>
      <c r="K18" t="str">
        <f t="shared" si="0"/>
        <v>0.002</v>
      </c>
      <c r="L18" t="str">
        <f t="shared" si="0"/>
        <v>0.132</v>
      </c>
      <c r="M18" t="str">
        <f t="shared" si="0"/>
        <v/>
      </c>
      <c r="N18" t="str">
        <f t="shared" si="0"/>
        <v/>
      </c>
    </row>
    <row r="19" spans="2:14">
      <c r="B19">
        <f t="shared" si="8"/>
        <v>2048</v>
      </c>
      <c r="C19" s="17" t="str">
        <f t="shared" si="9"/>
        <v>premiumssd-p40</v>
      </c>
      <c r="D19" s="17">
        <f t="shared" si="10"/>
        <v>259.04570000000001</v>
      </c>
      <c r="E19" t="str">
        <f t="shared" si="6"/>
        <v>7500</v>
      </c>
      <c r="F19" t="str">
        <f t="shared" si="7"/>
        <v>Premium SSD P40</v>
      </c>
      <c r="G19" t="str">
        <f t="shared" si="7"/>
        <v>False</v>
      </c>
      <c r="H19" t="str">
        <f t="shared" si="0"/>
        <v>2048</v>
      </c>
      <c r="I19" t="str">
        <f t="shared" si="0"/>
        <v>7500</v>
      </c>
      <c r="J19" t="str">
        <f t="shared" si="0"/>
        <v>250</v>
      </c>
      <c r="K19" t="str">
        <f t="shared" si="0"/>
        <v>0.002</v>
      </c>
      <c r="L19" t="str">
        <f t="shared" si="0"/>
        <v>0.132</v>
      </c>
      <c r="M19" t="str">
        <f t="shared" si="0"/>
        <v/>
      </c>
      <c r="N19" t="str">
        <f t="shared" si="0"/>
        <v/>
      </c>
    </row>
    <row r="20" spans="2:14">
      <c r="B20">
        <f t="shared" si="8"/>
        <v>4096</v>
      </c>
      <c r="C20" s="17" t="str">
        <f t="shared" si="9"/>
        <v>premiumssd-p50</v>
      </c>
      <c r="D20" s="17">
        <f>getManagedDiskPriceMonth(C20,$A$4,$A$5)*2</f>
        <v>991.13139999999999</v>
      </c>
      <c r="E20" t="str">
        <f t="shared" si="6"/>
        <v>7500</v>
      </c>
      <c r="F20" t="str">
        <f t="shared" si="7"/>
        <v>Premium SSD P50</v>
      </c>
      <c r="G20" t="str">
        <f t="shared" si="7"/>
        <v>False</v>
      </c>
      <c r="H20" t="str">
        <f t="shared" si="7"/>
        <v>4096</v>
      </c>
      <c r="I20" t="str">
        <f t="shared" si="7"/>
        <v>7500</v>
      </c>
      <c r="J20" t="str">
        <f t="shared" si="7"/>
        <v>250</v>
      </c>
      <c r="K20" t="str">
        <f t="shared" si="7"/>
        <v>0.002</v>
      </c>
      <c r="L20" t="str">
        <f t="shared" si="7"/>
        <v>0.132</v>
      </c>
      <c r="M20" t="str">
        <f t="shared" si="7"/>
        <v/>
      </c>
      <c r="N20" t="str">
        <f t="shared" si="7"/>
        <v/>
      </c>
    </row>
    <row r="21" spans="2:14">
      <c r="B21">
        <f>B20*3</f>
        <v>12288</v>
      </c>
      <c r="C21" s="19" t="str">
        <f t="shared" ref="C21" si="11">getManagedDisk(B21,$A$4,$A$5,,"premium")</f>
        <v>premiumssd-p70</v>
      </c>
      <c r="D21" s="19">
        <f t="shared" ref="D21" si="12">getManagedDiskPriceMonth(C21,$A$4,$A$5)</f>
        <v>1802.057</v>
      </c>
      <c r="E21" t="str">
        <f t="shared" ref="E21" si="13">getMDiskData(C21,$A$4,$A$5,"IOPS")</f>
        <v>15000</v>
      </c>
      <c r="F21" t="str">
        <f t="shared" si="7"/>
        <v>Premium SSD P70 (PREVIEW)</v>
      </c>
      <c r="G21" t="str">
        <f t="shared" si="7"/>
        <v>True</v>
      </c>
      <c r="H21" t="str">
        <f t="shared" si="7"/>
        <v>16384</v>
      </c>
      <c r="I21" t="str">
        <f t="shared" si="7"/>
        <v>15000</v>
      </c>
      <c r="J21" t="str">
        <f t="shared" si="7"/>
        <v>750</v>
      </c>
      <c r="K21" t="str">
        <f t="shared" si="7"/>
        <v>0.002</v>
      </c>
      <c r="L21" t="str">
        <f t="shared" si="7"/>
        <v>0.132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39BF-3C1D-40A1-8387-C49A44AF14AE}">
  <sheetPr codeName="Sheet1"/>
  <dimension ref="B4:O29"/>
  <sheetViews>
    <sheetView workbookViewId="0">
      <selection activeCell="B20" sqref="B20"/>
    </sheetView>
  </sheetViews>
  <sheetFormatPr defaultRowHeight="15"/>
  <cols>
    <col min="1" max="1" width="17.140625" customWidth="1"/>
    <col min="2" max="2" width="16.42578125" customWidth="1"/>
    <col min="3" max="3" width="21.5703125" customWidth="1"/>
    <col min="4" max="4" width="24.140625" bestFit="1" customWidth="1"/>
    <col min="5" max="5" width="24.5703125" bestFit="1" customWidth="1"/>
    <col min="6" max="6" width="20.140625" customWidth="1"/>
    <col min="7" max="7" width="10.28515625" customWidth="1"/>
    <col min="8" max="8" width="16.85546875" customWidth="1"/>
    <col min="12" max="12" width="15.140625" customWidth="1"/>
    <col min="13" max="13" width="16.42578125" customWidth="1"/>
    <col min="14" max="15" width="15.42578125" customWidth="1"/>
  </cols>
  <sheetData>
    <row r="4" spans="2:15">
      <c r="E4" t="s">
        <v>3</v>
      </c>
    </row>
    <row r="5" spans="2:15">
      <c r="E5" t="s">
        <v>8</v>
      </c>
    </row>
    <row r="6" spans="2:15">
      <c r="B6" t="s">
        <v>11</v>
      </c>
      <c r="C6" t="s">
        <v>12</v>
      </c>
      <c r="D6" t="s">
        <v>4</v>
      </c>
      <c r="G6" t="s">
        <v>2</v>
      </c>
      <c r="H6" t="s">
        <v>1</v>
      </c>
      <c r="I6" t="s">
        <v>6</v>
      </c>
      <c r="J6" t="s">
        <v>5</v>
      </c>
      <c r="K6" t="s">
        <v>7</v>
      </c>
      <c r="L6" t="s">
        <v>28</v>
      </c>
    </row>
    <row r="7" spans="2:15">
      <c r="B7">
        <v>1</v>
      </c>
      <c r="C7">
        <v>1</v>
      </c>
      <c r="D7">
        <v>3</v>
      </c>
      <c r="E7" t="s">
        <v>0</v>
      </c>
      <c r="F7" s="17" t="str">
        <f>getVM(B7,C7,D7,E7,$E$5)</f>
        <v>linux-b1s-standard</v>
      </c>
      <c r="G7" s="20" t="e">
        <f>getVMPriceHour(F7,D7,E7,$E$5)</f>
        <v>#VALUE!</v>
      </c>
      <c r="H7" s="1" t="e">
        <f t="shared" ref="H7:H10" si="0">G7*730</f>
        <v>#VALUE!</v>
      </c>
      <c r="I7" t="str">
        <f>getVMData($F7,$E7,$E$5,"isvcpu")</f>
        <v>True</v>
      </c>
      <c r="J7" t="str">
        <f>getVMData($F7,$E7,$E$5,"cores")</f>
        <v>1</v>
      </c>
      <c r="K7" t="str">
        <f>getVMData($F7,$E7,$E$5,"ram")</f>
        <v>1</v>
      </c>
    </row>
    <row r="8" spans="2:15">
      <c r="B8">
        <v>20</v>
      </c>
      <c r="C8">
        <v>1</v>
      </c>
      <c r="D8">
        <v>0</v>
      </c>
      <c r="E8" t="s">
        <v>0</v>
      </c>
      <c r="F8" s="17" t="str">
        <f>getVM(B8,C8,D8,E8,$E$5)</f>
        <v>linux-f32sv2-standard</v>
      </c>
      <c r="G8" s="20" t="e">
        <f>getVMPriceHour(F8,D8,E8,$E$5)</f>
        <v>#VALUE!</v>
      </c>
      <c r="H8" s="1" t="e">
        <f t="shared" si="0"/>
        <v>#VALUE!</v>
      </c>
      <c r="I8" t="str">
        <f t="shared" ref="I8:I10" si="1">getVMData($F8,$E8,$E$5,"isvcpu")</f>
        <v>True</v>
      </c>
      <c r="J8" t="str">
        <f t="shared" ref="J8:J10" si="2">getVMData($F8,$E8,$E$5,"cores")</f>
        <v>32</v>
      </c>
      <c r="K8" t="str">
        <f t="shared" ref="K8:K10" si="3">getVMData($F8,$E8,$E$5,"ram")</f>
        <v>64</v>
      </c>
    </row>
    <row r="9" spans="2:15">
      <c r="B9">
        <v>1</v>
      </c>
      <c r="C9">
        <v>20</v>
      </c>
      <c r="D9">
        <v>0</v>
      </c>
      <c r="E9" t="s">
        <v>9</v>
      </c>
      <c r="F9" s="17" t="str">
        <f>getVM(B9,C9,D9,E9,$E$5,"-a;promo")</f>
        <v>linux-e4v3-standard</v>
      </c>
      <c r="G9" s="20" t="e">
        <f>getVMPriceHour(F9,D9,E9,$E$5)</f>
        <v>#VALUE!</v>
      </c>
      <c r="H9" s="1" t="e">
        <f t="shared" si="0"/>
        <v>#VALUE!</v>
      </c>
      <c r="I9" t="str">
        <f t="shared" si="1"/>
        <v>True</v>
      </c>
      <c r="J9" t="str">
        <f t="shared" si="2"/>
        <v>4</v>
      </c>
      <c r="K9" t="str">
        <f t="shared" si="3"/>
        <v>32</v>
      </c>
      <c r="L9" t="s">
        <v>29</v>
      </c>
    </row>
    <row r="10" spans="2:15">
      <c r="B10">
        <v>100</v>
      </c>
      <c r="C10">
        <v>100</v>
      </c>
      <c r="D10">
        <v>0</v>
      </c>
      <c r="E10" t="s">
        <v>10</v>
      </c>
      <c r="F10" s="17" t="str">
        <f>getVM(B10,C10,D10,E10,$E$5,"","windows")</f>
        <v>windows-m128s-standard</v>
      </c>
      <c r="G10" s="20" t="e">
        <f>getVMPriceHour(F10,D10,E10,$E$5)</f>
        <v>#VALUE!</v>
      </c>
      <c r="H10" s="1" t="e">
        <f t="shared" si="0"/>
        <v>#VALUE!</v>
      </c>
      <c r="I10" t="str">
        <f t="shared" si="1"/>
        <v>True</v>
      </c>
      <c r="J10" t="str">
        <f t="shared" si="2"/>
        <v>128</v>
      </c>
      <c r="K10" t="str">
        <f t="shared" si="3"/>
        <v>2048</v>
      </c>
      <c r="L10" t="s">
        <v>30</v>
      </c>
    </row>
    <row r="11" spans="2:15">
      <c r="B11">
        <v>1</v>
      </c>
      <c r="C11">
        <v>1</v>
      </c>
      <c r="D11">
        <v>3</v>
      </c>
      <c r="E11" t="s">
        <v>0</v>
      </c>
      <c r="F11" s="17" t="str">
        <f>getVM(B11,C11,D11,E11,$E$5,"-b")</f>
        <v>linux-d1v2-standard</v>
      </c>
      <c r="G11" s="20" t="e">
        <f>getVMPriceHour(F11,D11,E11,$E$5)</f>
        <v>#VALUE!</v>
      </c>
      <c r="H11" s="1" t="e">
        <f t="shared" ref="H11" si="4">G11*730</f>
        <v>#VALUE!</v>
      </c>
      <c r="I11" t="str">
        <f>getVMData($F11,$E11,$E$5,"isvcpu")</f>
        <v>False</v>
      </c>
      <c r="J11" t="str">
        <f>getVMData($F11,$E11,$E$5,"cores")</f>
        <v>1</v>
      </c>
      <c r="K11" t="str">
        <f>getVMData($F11,$E11,$E$5,"ram")</f>
        <v>4</v>
      </c>
      <c r="L11" t="s">
        <v>13</v>
      </c>
    </row>
    <row r="16" spans="2:15">
      <c r="B16" s="2" t="s">
        <v>16</v>
      </c>
      <c r="D16" s="2" t="s">
        <v>15</v>
      </c>
      <c r="E16" s="2" t="s">
        <v>14</v>
      </c>
      <c r="F16" s="2" t="s">
        <v>17</v>
      </c>
      <c r="G16" s="2" t="s">
        <v>18</v>
      </c>
      <c r="H16" s="2" t="s">
        <v>21</v>
      </c>
      <c r="J16" s="2" t="s">
        <v>22</v>
      </c>
      <c r="K16" s="2" t="s">
        <v>23</v>
      </c>
      <c r="L16" s="3" t="s">
        <v>24</v>
      </c>
      <c r="M16" s="3" t="s">
        <v>25</v>
      </c>
      <c r="N16" s="3" t="s">
        <v>26</v>
      </c>
      <c r="O16" s="3" t="s">
        <v>27</v>
      </c>
    </row>
    <row r="17" spans="2:15">
      <c r="B17" t="s">
        <v>20</v>
      </c>
      <c r="D17">
        <v>32</v>
      </c>
      <c r="E17" s="17" t="str">
        <f>getManagedDisk(D17,$B$17,$E$5)</f>
        <v>standardhdd-s4</v>
      </c>
      <c r="F17" s="17">
        <f>getManagedDiskPriceMonth(E17,$B$17,$E$5)</f>
        <v>1.2953087999999999</v>
      </c>
      <c r="G17" t="str">
        <f>getMDiskData(E17,$B$17,$E$5,"size")</f>
        <v>32</v>
      </c>
      <c r="H17">
        <f>F17/G17</f>
        <v>4.0478399999999998E-2</v>
      </c>
      <c r="J17" t="str">
        <f>getMDiskData(E17,$B$17,$E$5,"iops")</f>
        <v/>
      </c>
      <c r="K17" t="str">
        <f>getMDiskData($E17,$B$17,$E$5,K$16)</f>
        <v/>
      </c>
      <c r="L17" t="str">
        <f t="shared" ref="L17:O21" si="5">getMDiskData($E17,$B$17,$E$5,L$16)</f>
        <v>0.00042165</v>
      </c>
      <c r="M17" t="str">
        <f t="shared" si="5"/>
        <v/>
      </c>
      <c r="N17" t="str">
        <f t="shared" si="5"/>
        <v>0.042165</v>
      </c>
      <c r="O17" t="str">
        <f t="shared" si="5"/>
        <v>0.042165</v>
      </c>
    </row>
    <row r="18" spans="2:15">
      <c r="D18">
        <v>100</v>
      </c>
      <c r="E18" s="17" t="str">
        <f>getManagedDisk(D18,$B$17,$E$5)</f>
        <v>standardhdd-s10</v>
      </c>
      <c r="F18" s="17">
        <f>getManagedDiskPriceMonth(E18,$B$17,$E$5)</f>
        <v>4.9653504000000002</v>
      </c>
      <c r="G18" t="str">
        <f t="shared" ref="G18:G21" si="6">getMDiskData(E18,$B$17,$E$5,"size")</f>
        <v>128</v>
      </c>
      <c r="H18">
        <f t="shared" ref="H18:H21" si="7">F18/G18</f>
        <v>3.8791800000000001E-2</v>
      </c>
      <c r="J18" t="str">
        <f t="shared" ref="J18:J21" si="8">getMDiskData(E18,$B$17,$E$5,"iops")</f>
        <v/>
      </c>
      <c r="K18" t="str">
        <f t="shared" ref="K18:K21" si="9">getMDiskData($E18,$B$17,$E$5,K$16)</f>
        <v/>
      </c>
      <c r="L18" t="str">
        <f t="shared" si="5"/>
        <v>0.00042165</v>
      </c>
      <c r="M18" t="str">
        <f t="shared" si="5"/>
        <v/>
      </c>
      <c r="N18" t="str">
        <f t="shared" si="5"/>
        <v>0.042165</v>
      </c>
      <c r="O18" t="str">
        <f t="shared" si="5"/>
        <v>0.042165</v>
      </c>
    </row>
    <row r="19" spans="2:15">
      <c r="D19">
        <v>200</v>
      </c>
      <c r="E19" s="17" t="str">
        <f>getManagedDisk(D19,$B$17,$E$5)</f>
        <v>standardhdd-s15</v>
      </c>
      <c r="F19" s="17">
        <f>getManagedDiskPriceMonth(E19,$B$17,$E$5)</f>
        <v>9.5529024000000007</v>
      </c>
      <c r="G19" t="str">
        <f t="shared" si="6"/>
        <v>256</v>
      </c>
      <c r="H19">
        <f t="shared" si="7"/>
        <v>3.7316025000000003E-2</v>
      </c>
      <c r="J19" t="str">
        <f t="shared" si="8"/>
        <v/>
      </c>
      <c r="K19" t="str">
        <f t="shared" si="9"/>
        <v/>
      </c>
      <c r="L19" t="str">
        <f t="shared" si="5"/>
        <v>0.00042165</v>
      </c>
      <c r="M19" t="str">
        <f t="shared" si="5"/>
        <v/>
      </c>
      <c r="N19" t="str">
        <f t="shared" si="5"/>
        <v>0.042165</v>
      </c>
      <c r="O19" t="str">
        <f t="shared" si="5"/>
        <v>0.042165</v>
      </c>
    </row>
    <row r="20" spans="2:15">
      <c r="D20">
        <v>300</v>
      </c>
      <c r="E20" s="17" t="str">
        <f>getManagedDisk(D20,$B$17,$E$5)</f>
        <v>standardhdd-s20</v>
      </c>
      <c r="F20" s="17">
        <f>getManagedDiskPriceMonth(E20,$B$17,$E$5)</f>
        <v>18.350207999999999</v>
      </c>
      <c r="G20" t="str">
        <f t="shared" si="6"/>
        <v>512</v>
      </c>
      <c r="H20">
        <f t="shared" si="7"/>
        <v>3.5840249999999997E-2</v>
      </c>
      <c r="J20" t="str">
        <f t="shared" si="8"/>
        <v/>
      </c>
      <c r="K20" t="str">
        <f t="shared" si="9"/>
        <v/>
      </c>
      <c r="L20" t="str">
        <f t="shared" si="5"/>
        <v>0.00042165</v>
      </c>
      <c r="M20" t="str">
        <f t="shared" si="5"/>
        <v/>
      </c>
      <c r="N20" t="str">
        <f t="shared" si="5"/>
        <v>0.042165</v>
      </c>
      <c r="O20" t="str">
        <f t="shared" si="5"/>
        <v>0.042165</v>
      </c>
    </row>
    <row r="21" spans="2:15">
      <c r="D21">
        <v>1000</v>
      </c>
      <c r="E21" s="17" t="str">
        <f>getManagedDisk(D21,$B$17,$E$5)</f>
        <v>standardhdd-s30</v>
      </c>
      <c r="F21" s="17">
        <f>getManagedDiskPriceMonth(E21,$B$17,$E$5)</f>
        <v>34.541567999999998</v>
      </c>
      <c r="G21" t="str">
        <f t="shared" si="6"/>
        <v>1024</v>
      </c>
      <c r="H21">
        <f t="shared" si="7"/>
        <v>3.3731999999999998E-2</v>
      </c>
      <c r="J21" t="str">
        <f t="shared" si="8"/>
        <v/>
      </c>
      <c r="K21" t="str">
        <f t="shared" si="9"/>
        <v/>
      </c>
      <c r="L21" t="str">
        <f t="shared" si="5"/>
        <v>0.00042165</v>
      </c>
      <c r="M21" t="str">
        <f t="shared" si="5"/>
        <v/>
      </c>
      <c r="N21" t="str">
        <f t="shared" si="5"/>
        <v>0.042165</v>
      </c>
      <c r="O21" t="str">
        <f t="shared" si="5"/>
        <v>0.042165</v>
      </c>
    </row>
    <row r="24" spans="2:15">
      <c r="D24" s="2" t="s">
        <v>15</v>
      </c>
      <c r="E24" s="2" t="s">
        <v>19</v>
      </c>
      <c r="F24" s="2" t="s">
        <v>17</v>
      </c>
      <c r="G24" s="2" t="s">
        <v>18</v>
      </c>
      <c r="H24" s="2" t="s">
        <v>21</v>
      </c>
    </row>
    <row r="25" spans="2:15">
      <c r="D25">
        <v>32</v>
      </c>
      <c r="E25" s="17" t="str">
        <f>getManagedDisk(D25,$B$17,$E$5,"","premium")</f>
        <v>premiumssd-p4</v>
      </c>
      <c r="F25" s="17">
        <f>getManagedDiskPriceMonth(E25,$B$17,$E$5)</f>
        <v>4.4522023500000003</v>
      </c>
      <c r="G25" t="str">
        <f>getMDiskData(E25,$B$17,$E$5,"size")</f>
        <v>32</v>
      </c>
      <c r="H25">
        <f>F25/G25</f>
        <v>0.13913132343750001</v>
      </c>
      <c r="J25" t="str">
        <f t="shared" ref="J25:J29" si="10">getMDiskData(E25,$B$17,$E$5,"iops")</f>
        <v>120</v>
      </c>
      <c r="K25" t="str">
        <f t="shared" ref="K25:O29" si="11">getMDiskData($E25,$B$17,$E$5,K$16)</f>
        <v>25</v>
      </c>
      <c r="L25" t="str">
        <f t="shared" si="11"/>
        <v>0.0016866</v>
      </c>
      <c r="M25" t="str">
        <f t="shared" si="11"/>
        <v>0.1113156</v>
      </c>
      <c r="N25" t="str">
        <f t="shared" si="11"/>
        <v/>
      </c>
      <c r="O25" t="str">
        <f t="shared" si="11"/>
        <v/>
      </c>
    </row>
    <row r="26" spans="2:15">
      <c r="D26">
        <v>100</v>
      </c>
      <c r="E26" s="17" t="str">
        <f t="shared" ref="E26:E29" si="12">getManagedDisk(D26,$B$17,$E$5,"","premium")</f>
        <v>premiumssd-p10</v>
      </c>
      <c r="F26" s="17">
        <f>getManagedDiskPriceMonth(E26,$B$17,$E$5)</f>
        <v>16.621442999999999</v>
      </c>
      <c r="G26" t="str">
        <f t="shared" ref="G26:G29" si="13">getMDiskData(E26,$B$17,$E$5,"size")</f>
        <v>128</v>
      </c>
      <c r="H26">
        <f t="shared" ref="H26:H29" si="14">F26/G26</f>
        <v>0.12985502343749999</v>
      </c>
      <c r="J26" t="str">
        <f t="shared" si="10"/>
        <v>500</v>
      </c>
      <c r="K26" t="str">
        <f t="shared" si="11"/>
        <v>100</v>
      </c>
      <c r="L26" t="str">
        <f t="shared" si="11"/>
        <v>0.0016866</v>
      </c>
      <c r="M26" t="str">
        <f t="shared" si="11"/>
        <v>0.1113156</v>
      </c>
      <c r="N26" t="str">
        <f t="shared" si="11"/>
        <v/>
      </c>
      <c r="O26" t="str">
        <f t="shared" si="11"/>
        <v/>
      </c>
    </row>
    <row r="27" spans="2:15">
      <c r="D27">
        <v>200</v>
      </c>
      <c r="E27" s="17" t="str">
        <f t="shared" si="12"/>
        <v>premiumssd-p15</v>
      </c>
      <c r="F27" s="17">
        <f>getManagedDiskPriceMonth(E27,$B$17,$E$5)</f>
        <v>32.055639348600003</v>
      </c>
      <c r="G27" t="str">
        <f t="shared" si="13"/>
        <v>256</v>
      </c>
      <c r="H27">
        <f t="shared" si="14"/>
        <v>0.12521734120546876</v>
      </c>
      <c r="J27" t="str">
        <f t="shared" si="10"/>
        <v>1100</v>
      </c>
      <c r="K27" t="str">
        <f t="shared" si="11"/>
        <v>125</v>
      </c>
      <c r="L27" t="str">
        <f t="shared" si="11"/>
        <v>0.0016866</v>
      </c>
      <c r="M27" t="str">
        <f t="shared" si="11"/>
        <v>0.1113156</v>
      </c>
      <c r="N27" t="str">
        <f t="shared" si="11"/>
        <v/>
      </c>
      <c r="O27" t="str">
        <f t="shared" si="11"/>
        <v/>
      </c>
    </row>
    <row r="28" spans="2:15">
      <c r="D28">
        <v>300</v>
      </c>
      <c r="E28" s="17" t="str">
        <f t="shared" si="12"/>
        <v>premiumssd-p20</v>
      </c>
      <c r="F28" s="17">
        <f>getManagedDiskPriceMonth(E28,$B$17,$E$5)</f>
        <v>61.746426</v>
      </c>
      <c r="G28" t="str">
        <f t="shared" si="13"/>
        <v>512</v>
      </c>
      <c r="H28">
        <f t="shared" si="14"/>
        <v>0.12059848828125</v>
      </c>
      <c r="J28" t="str">
        <f t="shared" si="10"/>
        <v>2300</v>
      </c>
      <c r="K28" t="str">
        <f t="shared" si="11"/>
        <v>150</v>
      </c>
      <c r="L28" t="str">
        <f t="shared" si="11"/>
        <v>0.0016866</v>
      </c>
      <c r="M28" t="str">
        <f t="shared" si="11"/>
        <v>0.1113156</v>
      </c>
      <c r="N28" t="str">
        <f t="shared" si="11"/>
        <v/>
      </c>
      <c r="O28" t="str">
        <f t="shared" si="11"/>
        <v/>
      </c>
    </row>
    <row r="29" spans="2:15">
      <c r="D29">
        <v>1000</v>
      </c>
      <c r="E29" s="17" t="str">
        <f t="shared" si="12"/>
        <v>premiumssd-p30</v>
      </c>
      <c r="F29" s="17">
        <f>getManagedDiskPriceMonth(E29,$B$17,$E$5)</f>
        <v>113.988861</v>
      </c>
      <c r="G29" t="str">
        <f t="shared" si="13"/>
        <v>1024</v>
      </c>
      <c r="H29">
        <f t="shared" si="14"/>
        <v>0.1113172470703125</v>
      </c>
      <c r="J29" t="str">
        <f t="shared" si="10"/>
        <v>5000</v>
      </c>
      <c r="K29" t="str">
        <f t="shared" si="11"/>
        <v>200</v>
      </c>
      <c r="L29" t="str">
        <f t="shared" si="11"/>
        <v>0.0016866</v>
      </c>
      <c r="M29" t="str">
        <f t="shared" si="11"/>
        <v>0.1113156</v>
      </c>
      <c r="N29" t="str">
        <f t="shared" si="11"/>
        <v/>
      </c>
      <c r="O29" t="str">
        <f t="shared" si="11"/>
        <v/>
      </c>
    </row>
  </sheetData>
  <conditionalFormatting sqref="H17:H21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{47DD1E5C-08CF-4EAC-9022-EA4AB85968E2}</x14:id>
        </ext>
      </extLst>
    </cfRule>
  </conditionalFormatting>
  <conditionalFormatting sqref="H25:H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{ED6F0741-3182-4A75-810C-16D919C9D259}</x14:id>
        </ext>
      </extLst>
    </cfRule>
  </conditionalFormatting>
  <conditionalFormatting sqref="F34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{3914575C-E9A9-43D0-ABB3-084526C45CB7}</x14:id>
        </ext>
      </extLst>
    </cfRule>
  </conditionalFormatting>
  <conditionalFormatting sqref="H7:H1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{1FBBD5BD-4246-4CE8-8F18-F25F7C366369}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DD1E5C-08CF-4EAC-9022-EA4AB85968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H17:H21</xm:sqref>
        </x14:conditionalFormatting>
        <x14:conditionalFormatting xmlns:xm="http://schemas.microsoft.com/office/excel/2006/main">
          <x14:cfRule type="dataBar" id="{ED6F0741-3182-4A75-810C-16D919C9D2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H25:H29</xm:sqref>
        </x14:conditionalFormatting>
        <x14:conditionalFormatting xmlns:xm="http://schemas.microsoft.com/office/excel/2006/main">
          <x14:cfRule type="dataBar" id="{3914575C-E9A9-43D0-ABB3-084526C45C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F34</xm:sqref>
        </x14:conditionalFormatting>
        <x14:conditionalFormatting xmlns:xm="http://schemas.microsoft.com/office/excel/2006/main">
          <x14:cfRule type="dataBar" id="{1FBBD5BD-4246-4CE8-8F18-F25F7C3663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H7:H11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B987-C6F8-4C41-95E0-48BC3FEF7737}">
  <sheetPr codeName="Sheet2"/>
  <dimension ref="B3:I38"/>
  <sheetViews>
    <sheetView topLeftCell="A10" workbookViewId="0">
      <selection activeCell="D59" sqref="D59"/>
    </sheetView>
  </sheetViews>
  <sheetFormatPr defaultColWidth="8.7109375" defaultRowHeight="15"/>
  <cols>
    <col min="1" max="1" width="8.7109375" style="12"/>
    <col min="2" max="2" width="30.85546875" style="12" customWidth="1"/>
    <col min="3" max="4" width="24.85546875" style="12" bestFit="1" customWidth="1"/>
    <col min="5" max="5" width="17.85546875" style="12" bestFit="1" customWidth="1"/>
    <col min="6" max="6" width="42.5703125" style="12" bestFit="1" customWidth="1"/>
    <col min="7" max="7" width="27.28515625" style="12" customWidth="1"/>
    <col min="8" max="8" width="19" style="12" customWidth="1"/>
    <col min="9" max="16384" width="8.7109375" style="12"/>
  </cols>
  <sheetData>
    <row r="3" spans="2:9" ht="26.25">
      <c r="B3" s="15" t="s">
        <v>96</v>
      </c>
      <c r="G3" s="15" t="s">
        <v>95</v>
      </c>
      <c r="H3" s="15" t="s">
        <v>3</v>
      </c>
      <c r="I3" s="15" t="s">
        <v>113</v>
      </c>
    </row>
    <row r="4" spans="2:9">
      <c r="G4" s="12" t="s">
        <v>64</v>
      </c>
      <c r="H4" s="12" t="s">
        <v>97</v>
      </c>
      <c r="I4" s="13" t="s">
        <v>98</v>
      </c>
    </row>
    <row r="5" spans="2:9">
      <c r="G5" s="12" t="s">
        <v>65</v>
      </c>
      <c r="H5" s="12" t="s">
        <v>99</v>
      </c>
      <c r="I5" s="13" t="s">
        <v>100</v>
      </c>
    </row>
    <row r="6" spans="2:9" ht="23.25">
      <c r="B6" s="15" t="s">
        <v>56</v>
      </c>
      <c r="G6" s="12" t="s">
        <v>66</v>
      </c>
      <c r="H6" s="12" t="s">
        <v>101</v>
      </c>
      <c r="I6" s="13" t="s">
        <v>102</v>
      </c>
    </row>
    <row r="7" spans="2:9" ht="21">
      <c r="B7" s="16" t="s">
        <v>42</v>
      </c>
      <c r="G7" s="12" t="s">
        <v>67</v>
      </c>
      <c r="H7" s="12" t="s">
        <v>103</v>
      </c>
      <c r="I7" s="13" t="s">
        <v>104</v>
      </c>
    </row>
    <row r="8" spans="2:9">
      <c r="B8" s="12" t="s">
        <v>55</v>
      </c>
      <c r="G8" s="12" t="s">
        <v>68</v>
      </c>
      <c r="H8" s="12" t="s">
        <v>105</v>
      </c>
      <c r="I8" s="13" t="s">
        <v>105</v>
      </c>
    </row>
    <row r="9" spans="2:9">
      <c r="B9" s="12" t="s">
        <v>54</v>
      </c>
      <c r="G9" s="12" t="s">
        <v>69</v>
      </c>
      <c r="H9" s="12" t="s">
        <v>106</v>
      </c>
      <c r="I9" s="13" t="s">
        <v>106</v>
      </c>
    </row>
    <row r="10" spans="2:9">
      <c r="B10" s="12" t="s">
        <v>57</v>
      </c>
      <c r="G10" s="12" t="s">
        <v>70</v>
      </c>
      <c r="H10" s="12" t="s">
        <v>107</v>
      </c>
      <c r="I10" s="13" t="s">
        <v>108</v>
      </c>
    </row>
    <row r="11" spans="2:9">
      <c r="G11" s="12" t="s">
        <v>71</v>
      </c>
      <c r="H11" s="12" t="s">
        <v>109</v>
      </c>
      <c r="I11" s="13" t="s">
        <v>110</v>
      </c>
    </row>
    <row r="12" spans="2:9">
      <c r="B12" s="13" t="s">
        <v>63</v>
      </c>
      <c r="G12" s="12" t="s">
        <v>72</v>
      </c>
      <c r="H12" s="12" t="s">
        <v>111</v>
      </c>
      <c r="I12" s="13" t="s">
        <v>112</v>
      </c>
    </row>
    <row r="13" spans="2:9">
      <c r="B13" s="14" t="s">
        <v>37</v>
      </c>
      <c r="C13" s="12" t="s">
        <v>43</v>
      </c>
      <c r="G13" s="12" t="s">
        <v>73</v>
      </c>
    </row>
    <row r="14" spans="2:9">
      <c r="B14" s="13" t="s">
        <v>35</v>
      </c>
      <c r="C14" s="12" t="s">
        <v>44</v>
      </c>
      <c r="G14" s="12" t="s">
        <v>74</v>
      </c>
    </row>
    <row r="15" spans="2:9">
      <c r="B15" s="13" t="s">
        <v>36</v>
      </c>
      <c r="C15" s="12" t="s">
        <v>45</v>
      </c>
      <c r="G15" s="12" t="s">
        <v>75</v>
      </c>
    </row>
    <row r="16" spans="2:9">
      <c r="B16" s="13" t="s">
        <v>38</v>
      </c>
      <c r="C16" s="12" t="s">
        <v>46</v>
      </c>
      <c r="G16" s="12" t="s">
        <v>20</v>
      </c>
    </row>
    <row r="17" spans="2:7">
      <c r="G17" s="12" t="s">
        <v>0</v>
      </c>
    </row>
    <row r="18" spans="2:7">
      <c r="G18" s="12" t="s">
        <v>76</v>
      </c>
    </row>
    <row r="19" spans="2:7">
      <c r="G19" s="12" t="s">
        <v>77</v>
      </c>
    </row>
    <row r="20" spans="2:7" ht="23.25">
      <c r="B20" s="15" t="s">
        <v>58</v>
      </c>
      <c r="G20" s="12" t="s">
        <v>78</v>
      </c>
    </row>
    <row r="21" spans="2:7">
      <c r="B21" s="12" t="s">
        <v>59</v>
      </c>
      <c r="G21" s="12" t="s">
        <v>79</v>
      </c>
    </row>
    <row r="22" spans="2:7">
      <c r="B22" s="12" t="s">
        <v>60</v>
      </c>
      <c r="G22" s="12" t="s">
        <v>80</v>
      </c>
    </row>
    <row r="23" spans="2:7">
      <c r="B23" s="12" t="s">
        <v>61</v>
      </c>
      <c r="G23" s="12" t="s">
        <v>81</v>
      </c>
    </row>
    <row r="24" spans="2:7">
      <c r="G24" s="12" t="s">
        <v>82</v>
      </c>
    </row>
    <row r="25" spans="2:7">
      <c r="B25" s="14" t="s">
        <v>62</v>
      </c>
      <c r="G25" s="12" t="s">
        <v>83</v>
      </c>
    </row>
    <row r="26" spans="2:7">
      <c r="B26" s="14" t="s">
        <v>41</v>
      </c>
      <c r="C26" s="12" t="s">
        <v>47</v>
      </c>
      <c r="G26" s="12" t="s">
        <v>84</v>
      </c>
    </row>
    <row r="27" spans="2:7">
      <c r="B27" s="13" t="s">
        <v>40</v>
      </c>
      <c r="C27" s="12" t="s">
        <v>48</v>
      </c>
      <c r="G27" s="12" t="s">
        <v>85</v>
      </c>
    </row>
    <row r="28" spans="2:7">
      <c r="B28" s="13" t="s">
        <v>39</v>
      </c>
      <c r="C28" s="12" t="s">
        <v>49</v>
      </c>
      <c r="G28" s="12" t="s">
        <v>86</v>
      </c>
    </row>
    <row r="29" spans="2:7">
      <c r="B29" s="13" t="s">
        <v>24</v>
      </c>
      <c r="C29" s="12" t="s">
        <v>50</v>
      </c>
      <c r="G29" s="12" t="s">
        <v>9</v>
      </c>
    </row>
    <row r="30" spans="2:7">
      <c r="B30" s="13" t="s">
        <v>25</v>
      </c>
      <c r="C30" s="12" t="s">
        <v>51</v>
      </c>
      <c r="G30" s="12" t="s">
        <v>10</v>
      </c>
    </row>
    <row r="31" spans="2:7">
      <c r="B31" s="13" t="s">
        <v>26</v>
      </c>
      <c r="C31" s="12" t="s">
        <v>52</v>
      </c>
      <c r="G31" s="12" t="s">
        <v>87</v>
      </c>
    </row>
    <row r="32" spans="2:7">
      <c r="B32" s="13" t="s">
        <v>27</v>
      </c>
      <c r="C32" s="12" t="s">
        <v>53</v>
      </c>
      <c r="G32" s="12" t="s">
        <v>88</v>
      </c>
    </row>
    <row r="33" spans="2:7">
      <c r="G33" s="12" t="s">
        <v>89</v>
      </c>
    </row>
    <row r="34" spans="2:7" ht="23.25">
      <c r="B34" s="15" t="s">
        <v>121</v>
      </c>
      <c r="G34" s="12" t="s">
        <v>90</v>
      </c>
    </row>
    <row r="35" spans="2:7">
      <c r="G35" s="12" t="s">
        <v>91</v>
      </c>
    </row>
    <row r="36" spans="2:7">
      <c r="G36" s="12" t="s">
        <v>92</v>
      </c>
    </row>
    <row r="37" spans="2:7">
      <c r="G37" s="12" t="s">
        <v>93</v>
      </c>
    </row>
    <row r="38" spans="2:7">
      <c r="G38" s="12" t="s">
        <v>94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VM List</vt:lpstr>
      <vt:lpstr>Managed Disks</vt:lpstr>
      <vt:lpstr>TestSheet</vt:lpstr>
      <vt:lpstr>Cheat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Schwarzer</dc:creator>
  <cp:lastModifiedBy>jens</cp:lastModifiedBy>
  <dcterms:created xsi:type="dcterms:W3CDTF">2018-03-27T13:39:52Z</dcterms:created>
  <dcterms:modified xsi:type="dcterms:W3CDTF">2018-11-14T21:01:46Z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jeschwar@microsoft.com</vt:lpwstr>
  </property>
  <property fmtid="{D5CDD505-2E9C-101B-9397-08002B2CF9AE}" pid="5" name="MSIP_Label_f42aa342-8706-4288-bd11-ebb85995028c_SetDate">
    <vt:lpwstr>2018-03-27T13:45:55.1991973Z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