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4BEFEB2E-62C1-4FEC-A1AC-9992F6CD4168}" xr6:coauthVersionLast="34" xr6:coauthVersionMax="34" xr10:uidLastSave="{00000000-0000-0000-0000-000000000000}"/>
  <bookViews>
    <workbookView xWindow="0" yWindow="0" windowWidth="19200" windowHeight="7320" xr2:uid="{76FB606E-B3FC-4DBE-A184-7C562AE0ABA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9" i="1" l="1"/>
  <c r="H28" i="1"/>
  <c r="H27" i="1"/>
  <c r="H26" i="1"/>
  <c r="H25" i="1"/>
  <c r="H21" i="1"/>
  <c r="H20" i="1"/>
  <c r="H19" i="1"/>
  <c r="H18" i="1"/>
  <c r="H17" i="1"/>
  <c r="E29" i="1" l="1"/>
  <c r="E26" i="1"/>
  <c r="E28" i="1"/>
  <c r="E27" i="1"/>
  <c r="E25" i="1"/>
  <c r="F27" i="1"/>
  <c r="F28" i="1"/>
  <c r="G26" i="1"/>
  <c r="G27" i="1"/>
  <c r="F26" i="1"/>
  <c r="G28" i="1"/>
  <c r="E21" i="1"/>
  <c r="E20" i="1"/>
  <c r="E19" i="1"/>
  <c r="E18" i="1"/>
  <c r="E17" i="1"/>
  <c r="F11" i="1"/>
  <c r="I11" i="1"/>
  <c r="F9" i="1"/>
  <c r="K9" i="1"/>
  <c r="F7" i="1"/>
  <c r="I7" i="1" s="1"/>
  <c r="G9" i="1"/>
  <c r="J7" i="1"/>
  <c r="J11" i="1"/>
  <c r="F8" i="1"/>
  <c r="K8" i="1"/>
  <c r="F10" i="1"/>
  <c r="G7" i="1"/>
  <c r="K7" i="1"/>
  <c r="I9" i="1"/>
  <c r="J8" i="1"/>
  <c r="G11" i="1"/>
  <c r="G10" i="1"/>
  <c r="J9" i="1"/>
  <c r="K11" i="1"/>
  <c r="I8" i="1"/>
  <c r="G8" i="1"/>
  <c r="I10" i="1"/>
  <c r="K10" i="1"/>
  <c r="J10" i="1"/>
  <c r="F21" i="1"/>
  <c r="G21" i="1"/>
  <c r="F29" i="1"/>
  <c r="G29" i="1"/>
  <c r="F25" i="1"/>
  <c r="G25" i="1"/>
  <c r="F20" i="1"/>
  <c r="G20" i="1"/>
  <c r="F19" i="1"/>
  <c r="G19" i="1"/>
  <c r="F18" i="1"/>
  <c r="G18" i="1"/>
  <c r="F17" i="1"/>
  <c r="G17" i="1"/>
  <c r="H8" i="1" l="1"/>
  <c r="H10" i="1"/>
  <c r="H11" i="1"/>
  <c r="H7" i="1"/>
  <c r="H9" i="1"/>
</calcChain>
</file>

<file path=xl/sharedStrings.xml><?xml version="1.0" encoding="utf-8"?>
<sst xmlns="http://schemas.openxmlformats.org/spreadsheetml/2006/main" count="28" uniqueCount="22">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</sst>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2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A4:K29"/>
  <sheetViews>
    <sheetView tabSelected="1" topLeftCell="A4" workbookViewId="0">
      <selection activeCell="H32" sqref="H32"/>
    </sheetView>
  </sheetViews>
  <sheetFormatPr defaultRowHeight="14.5" x14ac:dyDescent="0.35"/>
  <cols>
    <col min="1" max="1" width="17.08984375" customWidth="1"/>
    <col min="2" max="2" width="16.36328125" customWidth="1"/>
    <col min="3" max="3" width="21.6328125" customWidth="1"/>
    <col min="4" max="4" width="24.089843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</cols>
  <sheetData>
    <row r="4" spans="1:11" x14ac:dyDescent="0.35">
      <c r="E4" t="s">
        <v>3</v>
      </c>
    </row>
    <row r="5" spans="1:11" x14ac:dyDescent="0.35">
      <c r="E5" t="s">
        <v>8</v>
      </c>
    </row>
    <row r="6" spans="1:11" x14ac:dyDescent="0.3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</row>
    <row r="7" spans="1:11" x14ac:dyDescent="0.35">
      <c r="B7">
        <v>1</v>
      </c>
      <c r="C7">
        <v>1</v>
      </c>
      <c r="D7">
        <v>3</v>
      </c>
      <c r="E7" t="s">
        <v>0</v>
      </c>
      <c r="F7" t="str">
        <f>getVM(B7,C7,D7,E7,$E$5)</f>
        <v>linux-b1s-standard</v>
      </c>
      <c r="G7" s="1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False</v>
      </c>
      <c r="J7" t="str">
        <f>getVMData($F7,$E7,$E$5,"cores")</f>
        <v>1</v>
      </c>
      <c r="K7" t="str">
        <f>getVMData($F7,$E7,$E$5,"ram")</f>
        <v>1</v>
      </c>
    </row>
    <row r="8" spans="1:11" x14ac:dyDescent="0.35">
      <c r="B8">
        <v>20</v>
      </c>
      <c r="C8">
        <v>1</v>
      </c>
      <c r="D8">
        <v>0</v>
      </c>
      <c r="E8" t="s">
        <v>0</v>
      </c>
      <c r="F8" t="str">
        <f>getVM(B8,C8,D8,E8,$E$5)</f>
        <v>linux-f32v2-standard</v>
      </c>
      <c r="G8" s="1">
        <f>getVMPriceHour(F8,D8,E8,$E$5)</f>
        <v>1.3796387999999999</v>
      </c>
      <c r="H8" s="1">
        <f t="shared" si="0"/>
        <v>1007.1363239999999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1:11" x14ac:dyDescent="0.35">
      <c r="B9">
        <v>1</v>
      </c>
      <c r="C9">
        <v>20</v>
      </c>
      <c r="D9">
        <v>0</v>
      </c>
      <c r="E9" t="s">
        <v>9</v>
      </c>
      <c r="F9" t="str">
        <f>getVM(B9,C9,D9,E9,$E$5)</f>
        <v>linux-a4mv2-standard</v>
      </c>
      <c r="G9" s="1">
        <f>getVMPriceHour(F9,D9,E9,$E$5)</f>
        <v>0.20070540000000001</v>
      </c>
      <c r="H9" s="1">
        <f t="shared" si="0"/>
        <v>146.51494199999999</v>
      </c>
      <c r="I9" t="str">
        <f t="shared" si="1"/>
        <v>False</v>
      </c>
      <c r="J9" t="str">
        <f t="shared" si="2"/>
        <v>4</v>
      </c>
      <c r="K9" t="str">
        <f t="shared" si="3"/>
        <v>32</v>
      </c>
    </row>
    <row r="10" spans="1:11" x14ac:dyDescent="0.35">
      <c r="B10">
        <v>100</v>
      </c>
      <c r="C10">
        <v>100</v>
      </c>
      <c r="D10">
        <v>0</v>
      </c>
      <c r="E10" t="s">
        <v>10</v>
      </c>
      <c r="F10" t="str">
        <f>getVM(B10,C10,D10,E10,$E$5)</f>
        <v>linux-m128s-standard</v>
      </c>
      <c r="G10" s="1">
        <f>getVMPriceHour(F10,D10,E10,$E$5)</f>
        <v>11.247935399999999</v>
      </c>
      <c r="H10" s="1">
        <f t="shared" si="0"/>
        <v>8210.9928419999997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</row>
    <row r="11" spans="1:11" x14ac:dyDescent="0.35">
      <c r="A11" t="s">
        <v>13</v>
      </c>
      <c r="B11">
        <v>1</v>
      </c>
      <c r="C11">
        <v>1</v>
      </c>
      <c r="D11">
        <v>3</v>
      </c>
      <c r="E11" t="s">
        <v>0</v>
      </c>
      <c r="F11" t="str">
        <f>getVM(B11,C11,D11,E11,$E$5,"linux-b")</f>
        <v>windows-b1s-standard</v>
      </c>
      <c r="G11" s="1">
        <f>getVMPriceHour(F11,D11,E11,$E$5)</f>
        <v>8.4751649999999998E-3</v>
      </c>
      <c r="H11" s="1">
        <f t="shared" ref="H11" si="4">G11*730</f>
        <v>6.1868704499999998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1</v>
      </c>
    </row>
    <row r="16" spans="1:11" x14ac:dyDescent="0.35">
      <c r="B16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</row>
    <row r="17" spans="2:8" x14ac:dyDescent="0.35">
      <c r="B17" t="s">
        <v>20</v>
      </c>
      <c r="D17">
        <v>32</v>
      </c>
      <c r="E17" t="str">
        <f>getManagedDisk(D17,$B$17,$E$5)</f>
        <v>standardhdd-s4</v>
      </c>
      <c r="F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</row>
    <row r="18" spans="2:8" x14ac:dyDescent="0.35">
      <c r="D18">
        <v>100</v>
      </c>
      <c r="E18" t="str">
        <f>getManagedDisk(D18,$B$17,$E$5)</f>
        <v>standardssd-e10</v>
      </c>
      <c r="F18">
        <f>getManagedDiskPriceMonth(E18,$B$17,$E$5)</f>
        <v>4.5335808000000002</v>
      </c>
      <c r="G18" t="str">
        <f t="shared" ref="G18:G21" si="5">getMDiskData(E18,$B$17,$E$5,"size")</f>
        <v>128</v>
      </c>
      <c r="H18">
        <f t="shared" ref="H18:H21" si="6">F18/G18</f>
        <v>3.5418600000000001E-2</v>
      </c>
    </row>
    <row r="19" spans="2:8" x14ac:dyDescent="0.35">
      <c r="D19">
        <v>200</v>
      </c>
      <c r="E19" t="str">
        <f>getManagedDisk(D19,$B$17,$E$5)</f>
        <v>standardssd-e15</v>
      </c>
      <c r="F19">
        <f>getManagedDiskPriceMonth(E19,$B$17,$E$5)</f>
        <v>8.7433344000000002</v>
      </c>
      <c r="G19" t="str">
        <f t="shared" si="5"/>
        <v>256</v>
      </c>
      <c r="H19">
        <f t="shared" si="6"/>
        <v>3.4153650000000001E-2</v>
      </c>
    </row>
    <row r="20" spans="2:8" x14ac:dyDescent="0.35">
      <c r="D20">
        <v>300</v>
      </c>
      <c r="E20" t="str">
        <f>getManagedDisk(D20,$B$17,$E$5)</f>
        <v>standardssd-e20</v>
      </c>
      <c r="F20">
        <f>getManagedDiskPriceMonth(E20,$B$17,$E$5)</f>
        <v>16.8390144</v>
      </c>
      <c r="G20" t="str">
        <f t="shared" si="5"/>
        <v>512</v>
      </c>
      <c r="H20">
        <f t="shared" si="6"/>
        <v>3.28887E-2</v>
      </c>
    </row>
    <row r="21" spans="2:8" x14ac:dyDescent="0.35">
      <c r="D21">
        <v>1000</v>
      </c>
      <c r="E21" t="str">
        <f>getManagedDisk(D21,$B$17,$E$5)</f>
        <v>standardssd-e30</v>
      </c>
      <c r="F21">
        <f>getManagedDiskPriceMonth(E21,$B$17,$E$5)</f>
        <v>31.087411199999998</v>
      </c>
      <c r="G21" t="str">
        <f t="shared" si="5"/>
        <v>1024</v>
      </c>
      <c r="H21">
        <f t="shared" si="6"/>
        <v>3.0358799999999998E-2</v>
      </c>
    </row>
    <row r="24" spans="2:8" x14ac:dyDescent="0.3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8" x14ac:dyDescent="0.35">
      <c r="D25">
        <v>32</v>
      </c>
      <c r="E25" t="str">
        <f>getManagedDisk(D25,$B$17,$E$5,"","premium")</f>
        <v>premiumssd-p4</v>
      </c>
      <c r="F25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</row>
    <row r="26" spans="2:8" x14ac:dyDescent="0.35">
      <c r="D26">
        <v>100</v>
      </c>
      <c r="E26" t="str">
        <f t="shared" ref="E26:E29" si="7">getManagedDisk(D26,$B$17,$E$5,"","premium")</f>
        <v>premiumssd-p10</v>
      </c>
      <c r="F26">
        <f>getManagedDiskPriceMonth(E26,$B$17,$E$5)</f>
        <v>16.621442999999999</v>
      </c>
      <c r="G26" t="str">
        <f t="shared" ref="G26:G29" si="8">getMDiskData(E26,$B$17,$E$5,"size")</f>
        <v>128</v>
      </c>
      <c r="H26">
        <f t="shared" ref="H26:H29" si="9">F26/G26</f>
        <v>0.12985502343749999</v>
      </c>
    </row>
    <row r="27" spans="2:8" x14ac:dyDescent="0.35">
      <c r="D27">
        <v>200</v>
      </c>
      <c r="E27" t="str">
        <f t="shared" si="7"/>
        <v>premiumssd-p15</v>
      </c>
      <c r="F27">
        <f>getManagedDiskPriceMonth(E27,$B$17,$E$5)</f>
        <v>32.055639348600003</v>
      </c>
      <c r="G27" t="str">
        <f t="shared" si="8"/>
        <v>256</v>
      </c>
      <c r="H27">
        <f t="shared" si="9"/>
        <v>0.12521734120546876</v>
      </c>
    </row>
    <row r="28" spans="2:8" x14ac:dyDescent="0.35">
      <c r="D28">
        <v>300</v>
      </c>
      <c r="E28" t="str">
        <f t="shared" si="7"/>
        <v>premiumssd-p20</v>
      </c>
      <c r="F28">
        <f>getManagedDiskPriceMonth(E28,$B$17,$E$5)</f>
        <v>61.746426</v>
      </c>
      <c r="G28" t="str">
        <f t="shared" si="8"/>
        <v>512</v>
      </c>
      <c r="H28">
        <f t="shared" si="9"/>
        <v>0.12059848828125</v>
      </c>
    </row>
    <row r="29" spans="2:8" x14ac:dyDescent="0.35">
      <c r="D29">
        <v>1000</v>
      </c>
      <c r="E29" t="str">
        <f t="shared" si="7"/>
        <v>premiumssd-p30</v>
      </c>
      <c r="F29">
        <f>getManagedDiskPriceMonth(E29,$B$17,$E$5)</f>
        <v>113.988861</v>
      </c>
      <c r="G29" t="str">
        <f t="shared" si="8"/>
        <v>1024</v>
      </c>
      <c r="H29">
        <f t="shared" si="9"/>
        <v>0.1113172470703125</v>
      </c>
    </row>
  </sheetData>
  <conditionalFormatting sqref="H17:H2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2018-06-22T13:20:47Z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